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dor del PC\Desktop\"/>
    </mc:Choice>
  </mc:AlternateContent>
  <xr:revisionPtr revIDLastSave="0" documentId="13_ncr:1_{427989C7-B625-47C8-98C3-107D592A64C7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👥 Invitados" sheetId="2" r:id="rId1"/>
    <sheet name="🪑 Mesas" sheetId="3" r:id="rId2"/>
    <sheet name="💰 Presupuesto" sheetId="4" r:id="rId3"/>
    <sheet name="✅ Preparativos" sheetId="5" state="hidden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3" i="3" l="1"/>
  <c r="B54" i="3" s="1"/>
  <c r="M47" i="3"/>
  <c r="E48" i="3"/>
  <c r="Q33" i="3"/>
  <c r="Q17" i="3"/>
  <c r="M18" i="3"/>
  <c r="I16" i="3"/>
  <c r="E17" i="3"/>
  <c r="B17" i="3"/>
  <c r="I49" i="3"/>
  <c r="B47" i="3"/>
  <c r="I31" i="3"/>
  <c r="E32" i="3"/>
  <c r="B32" i="3"/>
  <c r="D131" i="2"/>
  <c r="E17" i="4" l="1"/>
  <c r="E18" i="4"/>
  <c r="E19" i="4"/>
  <c r="E20" i="4"/>
  <c r="E21" i="4"/>
  <c r="E13" i="4"/>
  <c r="E14" i="4"/>
  <c r="E15" i="4"/>
  <c r="E16" i="4"/>
  <c r="E22" i="4"/>
  <c r="E23" i="4"/>
  <c r="E24" i="4"/>
  <c r="E25" i="4"/>
  <c r="E26" i="4"/>
  <c r="E27" i="4"/>
  <c r="E28" i="4"/>
  <c r="E29" i="4"/>
  <c r="E30" i="4"/>
  <c r="E31" i="4"/>
  <c r="E32" i="4"/>
  <c r="E6" i="4"/>
  <c r="E7" i="4"/>
  <c r="E8" i="4"/>
  <c r="E9" i="4"/>
  <c r="E10" i="4"/>
  <c r="E11" i="4"/>
  <c r="E12" i="4"/>
  <c r="E5" i="4"/>
</calcChain>
</file>

<file path=xl/sharedStrings.xml><?xml version="1.0" encoding="utf-8"?>
<sst xmlns="http://schemas.openxmlformats.org/spreadsheetml/2006/main" count="899" uniqueCount="478">
  <si>
    <t>Familia Novia</t>
  </si>
  <si>
    <t>Lugar</t>
  </si>
  <si>
    <t>Wedding Planner</t>
  </si>
  <si>
    <t>Comida</t>
  </si>
  <si>
    <t>Familia Novio</t>
  </si>
  <si>
    <t>Decoración</t>
  </si>
  <si>
    <t>TOTAL</t>
  </si>
  <si>
    <t>Meseros</t>
  </si>
  <si>
    <t>Granizados</t>
  </si>
  <si>
    <t>👥  LISTA COMPLETA DE INVITADOS</t>
  </si>
  <si>
    <t>NOMBRE / FAMILIA</t>
  </si>
  <si>
    <t>PERSONAS</t>
  </si>
  <si>
    <t>GRUPO</t>
  </si>
  <si>
    <t>Danilo Padilla</t>
  </si>
  <si>
    <t>Victor Mendoza</t>
  </si>
  <si>
    <t>Monica Ariza</t>
  </si>
  <si>
    <t>Erlinda Charris</t>
  </si>
  <si>
    <t>Fabiola Alvarez</t>
  </si>
  <si>
    <t>Andres Fontalvo</t>
  </si>
  <si>
    <t>Ana Maria y Magola</t>
  </si>
  <si>
    <t>Amigos Novio</t>
  </si>
  <si>
    <t>Luis Almanza</t>
  </si>
  <si>
    <t>Kelly Barrios</t>
  </si>
  <si>
    <t>Rita Perez</t>
  </si>
  <si>
    <t>Kelly Zapata</t>
  </si>
  <si>
    <t>Amigos Novia</t>
  </si>
  <si>
    <t>Eliana</t>
  </si>
  <si>
    <t>Juliana</t>
  </si>
  <si>
    <t>Ligia Agrego</t>
  </si>
  <si>
    <t>Amigos Común</t>
  </si>
  <si>
    <t>Sr. Beatriz</t>
  </si>
  <si>
    <t>Novios</t>
  </si>
  <si>
    <t>TOTAL INVITADOS</t>
  </si>
  <si>
    <t>🪑  DISTRIBUCIÓN DE MESAS</t>
  </si>
  <si>
    <t>Mesa 6 (14p)</t>
  </si>
  <si>
    <t>Mesa 7 (14p)</t>
  </si>
  <si>
    <t>Mesa 8 (14p)</t>
  </si>
  <si>
    <t>Mesa 9 (14p)</t>
  </si>
  <si>
    <t>Mesa 10 (14p)</t>
  </si>
  <si>
    <t>💰  PRESUPUESTO DEL MATRIMONIO</t>
  </si>
  <si>
    <t>SERVICIO / ÍTEM</t>
  </si>
  <si>
    <t>ABONADO</t>
  </si>
  <si>
    <t>PENDIENTE</t>
  </si>
  <si>
    <t>ENCARGADO</t>
  </si>
  <si>
    <t>Michelle</t>
  </si>
  <si>
    <t>Maria L</t>
  </si>
  <si>
    <t>Nosotros</t>
  </si>
  <si>
    <t>Sillas, Mesas, Manteles</t>
  </si>
  <si>
    <t>Ceremonia</t>
  </si>
  <si>
    <t>DJ</t>
  </si>
  <si>
    <t>Por definir</t>
  </si>
  <si>
    <t>Fotógrafo</t>
  </si>
  <si>
    <t>Madrina</t>
  </si>
  <si>
    <t>Músico Principal</t>
  </si>
  <si>
    <t>Trago</t>
  </si>
  <si>
    <t>Primos Jean</t>
  </si>
  <si>
    <t>$16,660,000</t>
  </si>
  <si>
    <t>$2,050,000</t>
  </si>
  <si>
    <t>$14,610,000</t>
  </si>
  <si>
    <t>✅  PREPARATIVOS &amp; ESTADO DE SERVICIOS</t>
  </si>
  <si>
    <t>PREPARATIVO</t>
  </si>
  <si>
    <t>ESTADO</t>
  </si>
  <si>
    <t>SERVICIO</t>
  </si>
  <si>
    <t>Sonido</t>
  </si>
  <si>
    <t>Pendiente</t>
  </si>
  <si>
    <t>Mesas</t>
  </si>
  <si>
    <t>Cotizado</t>
  </si>
  <si>
    <t>Pantalla</t>
  </si>
  <si>
    <t>Sillas</t>
  </si>
  <si>
    <t>Flores</t>
  </si>
  <si>
    <t>Listo ✓</t>
  </si>
  <si>
    <t>Pista de baile</t>
  </si>
  <si>
    <t>Cuadros para la entrada</t>
  </si>
  <si>
    <t>Recordatorios</t>
  </si>
  <si>
    <t>Cuadros entrada</t>
  </si>
  <si>
    <t>Papelería</t>
  </si>
  <si>
    <t>Nosotros / Andrea</t>
  </si>
  <si>
    <t>Música (cantante)</t>
  </si>
  <si>
    <t>Sobre mesas</t>
  </si>
  <si>
    <t>Saxofón</t>
  </si>
  <si>
    <t>Canoa</t>
  </si>
  <si>
    <t>Caja de helados</t>
  </si>
  <si>
    <t>Postres</t>
  </si>
  <si>
    <t>Hora loca</t>
  </si>
  <si>
    <t>Sancocho día siguiente</t>
  </si>
  <si>
    <t>Pólvora</t>
  </si>
  <si>
    <t>Cabina LED</t>
  </si>
  <si>
    <t>Mantelería</t>
  </si>
  <si>
    <t>Desechables y cosas de cocina</t>
  </si>
  <si>
    <t>Cristalería / Decoración mesa</t>
  </si>
  <si>
    <t>Mesa novios + centros de mesa</t>
  </si>
  <si>
    <t>Etiquetas de fila</t>
  </si>
  <si>
    <t>Total general</t>
  </si>
  <si>
    <t>Suma de PERSONAS</t>
  </si>
  <si>
    <t>Mesa de Novios &amp; Centro de Mesas</t>
  </si>
  <si>
    <t>OK</t>
  </si>
  <si>
    <t>Dites (6 unidades)</t>
  </si>
  <si>
    <t>foto estudio para cuadros</t>
  </si>
  <si>
    <t>Sobre mesas(impresiones de iniciales de novios)</t>
  </si>
  <si>
    <t xml:space="preserve">Dulces de la region para mesa </t>
  </si>
  <si>
    <t>Mesa 11</t>
  </si>
  <si>
    <t>Mesa 12</t>
  </si>
  <si>
    <t>Mesa 13</t>
  </si>
  <si>
    <t>Mesa 1</t>
  </si>
  <si>
    <t>Mesa 2</t>
  </si>
  <si>
    <t>Mesa 3</t>
  </si>
  <si>
    <t>Mesa 4</t>
  </si>
  <si>
    <t>Mesa 5</t>
  </si>
  <si>
    <t>Yamile Ganboa</t>
  </si>
  <si>
    <t>Roberto Polo &amp; Karime Fonatlvo</t>
  </si>
  <si>
    <t>Marbel Morales</t>
  </si>
  <si>
    <t>Ligia Ariza</t>
  </si>
  <si>
    <t>Ana Luisa Fontalvo</t>
  </si>
  <si>
    <t>Mireya Muriel</t>
  </si>
  <si>
    <t>Yadira Roca</t>
  </si>
  <si>
    <t>Liliana Caballero</t>
  </si>
  <si>
    <t>Yakelin Roca</t>
  </si>
  <si>
    <t>Dialmiro Berdugo &amp; Lucelys Ariza</t>
  </si>
  <si>
    <t>Verena Roca</t>
  </si>
  <si>
    <t>Dalila De Arcos &amp; Harold Rosales</t>
  </si>
  <si>
    <t>Gabriel Manrriaga</t>
  </si>
  <si>
    <t>Carolina Lugo</t>
  </si>
  <si>
    <t>Daniela Barrios</t>
  </si>
  <si>
    <t>Greshel Nieto</t>
  </si>
  <si>
    <t>XIOMARA ARIZA</t>
  </si>
  <si>
    <t>NELLYS ARIZA</t>
  </si>
  <si>
    <t>JAVIER ARIZA</t>
  </si>
  <si>
    <t xml:space="preserve">AURIS FONTALVO </t>
  </si>
  <si>
    <t>JAIME ZULUAGA</t>
  </si>
  <si>
    <t>MONICA ARIZA</t>
  </si>
  <si>
    <t>MARUJA MEJIA</t>
  </si>
  <si>
    <t>ESTHER CHARRIS</t>
  </si>
  <si>
    <t>XIOMARA POSADA</t>
  </si>
  <si>
    <t>HUGO FACETTE</t>
  </si>
  <si>
    <t>CLAUDIA POSADA</t>
  </si>
  <si>
    <t>ALFONSO CABALLERO</t>
  </si>
  <si>
    <t>FABIOLA ALVAREZ</t>
  </si>
  <si>
    <t>GERMAN POSADA</t>
  </si>
  <si>
    <t>MILENA CASTELAR</t>
  </si>
  <si>
    <t>JORGE POSADA</t>
  </si>
  <si>
    <t>LUCELYS TABORDA</t>
  </si>
  <si>
    <t>FABIAN POSADA</t>
  </si>
  <si>
    <t>ANA POSADA</t>
  </si>
  <si>
    <t>MAGOLA FONTALVO</t>
  </si>
  <si>
    <t>ROSIRIS MIRANDA</t>
  </si>
  <si>
    <t>AJ01</t>
  </si>
  <si>
    <t>AJ02</t>
  </si>
  <si>
    <t>AJ03</t>
  </si>
  <si>
    <t>AJ04</t>
  </si>
  <si>
    <t>AJ05</t>
  </si>
  <si>
    <t>AJ06</t>
  </si>
  <si>
    <t>AJ07</t>
  </si>
  <si>
    <t>AJ08</t>
  </si>
  <si>
    <t>AJ09</t>
  </si>
  <si>
    <t>AJ10</t>
  </si>
  <si>
    <t>AJ11</t>
  </si>
  <si>
    <t>AJ12</t>
  </si>
  <si>
    <t>AJ13</t>
  </si>
  <si>
    <t>AJ14</t>
  </si>
  <si>
    <t>AJ15</t>
  </si>
  <si>
    <t>AJ16</t>
  </si>
  <si>
    <t>AJ17</t>
  </si>
  <si>
    <t>AJ18</t>
  </si>
  <si>
    <t>AJ19</t>
  </si>
  <si>
    <t>AJ20</t>
  </si>
  <si>
    <t>AJ21</t>
  </si>
  <si>
    <t>AJ22</t>
  </si>
  <si>
    <t>AJ23</t>
  </si>
  <si>
    <t>AJ24</t>
  </si>
  <si>
    <t>AJ25</t>
  </si>
  <si>
    <t>AJ26</t>
  </si>
  <si>
    <t>AJ27</t>
  </si>
  <si>
    <t>AJ28</t>
  </si>
  <si>
    <t>AJ29</t>
  </si>
  <si>
    <t>AJ30</t>
  </si>
  <si>
    <t>AJ31</t>
  </si>
  <si>
    <t>AJ32</t>
  </si>
  <si>
    <t>AJ33</t>
  </si>
  <si>
    <t>AJ34</t>
  </si>
  <si>
    <t>AJ35</t>
  </si>
  <si>
    <t>AJ36</t>
  </si>
  <si>
    <t>AJ37</t>
  </si>
  <si>
    <t>AJ38</t>
  </si>
  <si>
    <t>AJ39</t>
  </si>
  <si>
    <t>AJ40</t>
  </si>
  <si>
    <t>AJ41</t>
  </si>
  <si>
    <t>AJ42</t>
  </si>
  <si>
    <t>AJ43</t>
  </si>
  <si>
    <t>AJ44</t>
  </si>
  <si>
    <t>AJ45</t>
  </si>
  <si>
    <t>AJ46</t>
  </si>
  <si>
    <t>AJ47</t>
  </si>
  <si>
    <t>AJ48</t>
  </si>
  <si>
    <t>AJ49</t>
  </si>
  <si>
    <t>AJ50</t>
  </si>
  <si>
    <t>AJ51</t>
  </si>
  <si>
    <t>AJ52</t>
  </si>
  <si>
    <t>AJ53</t>
  </si>
  <si>
    <t>AJ54</t>
  </si>
  <si>
    <t>AJ55</t>
  </si>
  <si>
    <t>AJ56</t>
  </si>
  <si>
    <t>AJ57</t>
  </si>
  <si>
    <t>AJ58</t>
  </si>
  <si>
    <t>AJ59</t>
  </si>
  <si>
    <t>AJ60</t>
  </si>
  <si>
    <t>AJ61</t>
  </si>
  <si>
    <t>AJ62</t>
  </si>
  <si>
    <t>AJ63</t>
  </si>
  <si>
    <t>AJ64</t>
  </si>
  <si>
    <t>AJ65</t>
  </si>
  <si>
    <t>AJ66</t>
  </si>
  <si>
    <t>AJ67</t>
  </si>
  <si>
    <t>AJ68</t>
  </si>
  <si>
    <t>AJ69</t>
  </si>
  <si>
    <t>AJ70</t>
  </si>
  <si>
    <t>AJ71</t>
  </si>
  <si>
    <t>AJ72</t>
  </si>
  <si>
    <t>AJ73</t>
  </si>
  <si>
    <t>AJ74</t>
  </si>
  <si>
    <t>AJ75</t>
  </si>
  <si>
    <t>AJ76</t>
  </si>
  <si>
    <t>AJ77</t>
  </si>
  <si>
    <t>AJ78</t>
  </si>
  <si>
    <t>AJ79</t>
  </si>
  <si>
    <t>AJ80</t>
  </si>
  <si>
    <t>AJ81</t>
  </si>
  <si>
    <t>AJ82</t>
  </si>
  <si>
    <t>AJ83</t>
  </si>
  <si>
    <t>AJ84</t>
  </si>
  <si>
    <t>AJ85</t>
  </si>
  <si>
    <t>AJ86</t>
  </si>
  <si>
    <t>AJ87</t>
  </si>
  <si>
    <t>AJ88</t>
  </si>
  <si>
    <t>AJ89</t>
  </si>
  <si>
    <t>AJ90</t>
  </si>
  <si>
    <t>AJ91</t>
  </si>
  <si>
    <t>AJ92</t>
  </si>
  <si>
    <t>AJ93</t>
  </si>
  <si>
    <t>AJ94</t>
  </si>
  <si>
    <t>AJ95</t>
  </si>
  <si>
    <t>AJ96</t>
  </si>
  <si>
    <t>AJ97</t>
  </si>
  <si>
    <t>COD</t>
  </si>
  <si>
    <t>Maria Lourdes Charris Ariza</t>
  </si>
  <si>
    <t>Michelle Charris Ariza</t>
  </si>
  <si>
    <t>Familia Pizarro Charris</t>
  </si>
  <si>
    <t>Zander  Castro</t>
  </si>
  <si>
    <t>Randy Ariza &amp; Mery Del Castillo</t>
  </si>
  <si>
    <t>Jair Ariza &amp; Lizeth Martinez</t>
  </si>
  <si>
    <t>Juan Camilo Castro Penagos</t>
  </si>
  <si>
    <t>Josue Perez Fontalvo</t>
  </si>
  <si>
    <t>Hugo Facette &amp; Xiomara Posada</t>
  </si>
  <si>
    <t>Arturo Gomez &amp; Marcela Facette</t>
  </si>
  <si>
    <t>Gabriela Gomez Facette</t>
  </si>
  <si>
    <t>Alfonso Caballero &amp; Claudia Posada</t>
  </si>
  <si>
    <t>Anibal Caro &amp; Daniela Posada</t>
  </si>
  <si>
    <t>German Dario Posada</t>
  </si>
  <si>
    <t>German Posada &amp; Milena Castelar</t>
  </si>
  <si>
    <t>Jorge Andres Posada</t>
  </si>
  <si>
    <t>Jose David Puentes &amp; Maria Alejandra Posada</t>
  </si>
  <si>
    <t>Jorge Posada Alvarez</t>
  </si>
  <si>
    <t>Lucelys Taborda</t>
  </si>
  <si>
    <t>Carlos Posada &amp; Fabian Posada</t>
  </si>
  <si>
    <t>Fabian Posada</t>
  </si>
  <si>
    <t>Carlos David Fontalvo</t>
  </si>
  <si>
    <t>Melani Fontalvo</t>
  </si>
  <si>
    <t xml:space="preserve">FORMA DE ENVIO </t>
  </si>
  <si>
    <t>Yirman Berdugo</t>
  </si>
  <si>
    <t>Jose Facette &amp; Ana Perez</t>
  </si>
  <si>
    <t>FISICA</t>
  </si>
  <si>
    <t>Sergio Facette</t>
  </si>
  <si>
    <t>Veruska Fontalvo y Teofilo Gutierrez</t>
  </si>
  <si>
    <t>Jose Zapata</t>
  </si>
  <si>
    <t>Luis Mancilla &amp; Luisa Vasquez</t>
  </si>
  <si>
    <t>Juan Camilo Lacouture</t>
  </si>
  <si>
    <t>Blanca Osorio</t>
  </si>
  <si>
    <t>Karen Pacheco Alvarez</t>
  </si>
  <si>
    <t>Jairo Badillo &amp; Patricia Medina</t>
  </si>
  <si>
    <t>Jaime Zuluaga &amp; Auris Fontalvo</t>
  </si>
  <si>
    <t>Yenifer Monsalve</t>
  </si>
  <si>
    <t>Jesus Barrios &amp; Sharon Lopez</t>
  </si>
  <si>
    <t>Adolfo Lora &amp; Mileidis Ruiz</t>
  </si>
  <si>
    <t>Marley Vasquez &amp; Andrea Mojica</t>
  </si>
  <si>
    <t>Sebastian Facette y Maria Fontalvo</t>
  </si>
  <si>
    <t>Stefany Truyol Muriel</t>
  </si>
  <si>
    <t>Diego Mejia Diaz &amp; Daniela Ariza</t>
  </si>
  <si>
    <t>Maria Maturana</t>
  </si>
  <si>
    <t>Oscar Maturana &amp; Julieht Pacheco</t>
  </si>
  <si>
    <t>Rocio Ariza</t>
  </si>
  <si>
    <t>Sebastian Ariza</t>
  </si>
  <si>
    <t>Juani Fontalvo &amp; Elias Ariza</t>
  </si>
  <si>
    <t>Dulce Facette</t>
  </si>
  <si>
    <t>Jairo Estrada &amp; Keila Barrios</t>
  </si>
  <si>
    <t>Lilia Lora</t>
  </si>
  <si>
    <t>Eliana Bermejo &amp; Harold Rachath</t>
  </si>
  <si>
    <t>Auxy Padilla</t>
  </si>
  <si>
    <t>Ana Vallejo</t>
  </si>
  <si>
    <t>Maria Fernanda Salas</t>
  </si>
  <si>
    <t>Oscar Teran &amp; Daniela Teran</t>
  </si>
  <si>
    <t>Jose Consuegra &amp; Juliana Ayala</t>
  </si>
  <si>
    <t>Nayeilis Cabreras</t>
  </si>
  <si>
    <t>Laura Galezo</t>
  </si>
  <si>
    <t>Leydi Peralta</t>
  </si>
  <si>
    <t>Harly Mora - Paola Arrazola - Rafael Andres</t>
  </si>
  <si>
    <t>Jose Rosado &amp; Tatiana Arrazola</t>
  </si>
  <si>
    <t xml:space="preserve">Alvaro Arrazola &amp; Maribel acosta </t>
  </si>
  <si>
    <t>Andrea Benitez</t>
  </si>
  <si>
    <t>Mayra Arrazola</t>
  </si>
  <si>
    <t>Brayder Prieto &amp; Jhoana Sayas</t>
  </si>
  <si>
    <t>Guillermo Prieto &amp; Mayra de Alba</t>
  </si>
  <si>
    <t>Edgar Herrera &amp; Beronica Charris</t>
  </si>
  <si>
    <t>Edgar Herrera &amp; Milagros Herrera</t>
  </si>
  <si>
    <t>Familia Romero</t>
  </si>
  <si>
    <t>Victor Mendoza &amp; Dianora hernandez</t>
  </si>
  <si>
    <t>Tedy Arroyo &amp; Acompañante</t>
  </si>
  <si>
    <t>Rafael Rodriguez</t>
  </si>
  <si>
    <t>Alfonso Rodriguez</t>
  </si>
  <si>
    <t>Familia Retamozo</t>
  </si>
  <si>
    <t>Rosiris Miranda</t>
  </si>
  <si>
    <t>VIRTUAL</t>
  </si>
  <si>
    <t>AJ98</t>
  </si>
  <si>
    <t>AJ99</t>
  </si>
  <si>
    <t>AJ100</t>
  </si>
  <si>
    <t>AJ101</t>
  </si>
  <si>
    <t>AJ102</t>
  </si>
  <si>
    <t>AJ103</t>
  </si>
  <si>
    <t>AJ104</t>
  </si>
  <si>
    <t>AJ105</t>
  </si>
  <si>
    <t>AJ106</t>
  </si>
  <si>
    <t>AJ107</t>
  </si>
  <si>
    <t>AJ108</t>
  </si>
  <si>
    <t>AJ109</t>
  </si>
  <si>
    <t>AJ110</t>
  </si>
  <si>
    <t>AJ111</t>
  </si>
  <si>
    <t>AJ112</t>
  </si>
  <si>
    <t>AJ113</t>
  </si>
  <si>
    <t>Alfredo Gutierrez &amp; Miladys Varela</t>
  </si>
  <si>
    <t xml:space="preserve">Javier Cuesta &amp; Valery Anaya </t>
  </si>
  <si>
    <t>Familia Lemus</t>
  </si>
  <si>
    <t>Ezequiel Martinez &amp; Alba Facette</t>
  </si>
  <si>
    <t>Cesar Obando &amp; Yulibeth Martinez</t>
  </si>
  <si>
    <t>Yesenia Martinez &amp; Bety</t>
  </si>
  <si>
    <t>AJ114</t>
  </si>
  <si>
    <t>AJ115</t>
  </si>
  <si>
    <t>AJ116</t>
  </si>
  <si>
    <t>Javier Ariza De La Hoz</t>
  </si>
  <si>
    <t>Nellys Ariza De La Hoz</t>
  </si>
  <si>
    <t>Xiomara Ariza De La Hoz</t>
  </si>
  <si>
    <t>AJ117</t>
  </si>
  <si>
    <t>AJ118</t>
  </si>
  <si>
    <t>Esther Charris</t>
  </si>
  <si>
    <t>Jose Charris Charris</t>
  </si>
  <si>
    <t>Roberto Charris Charris</t>
  </si>
  <si>
    <t>AJ119</t>
  </si>
  <si>
    <t>AJ120</t>
  </si>
  <si>
    <t>Yakelin Facette &amp; Jhony Martinez</t>
  </si>
  <si>
    <t>Heisilen Martinez &amp; Yemileth Martinez</t>
  </si>
  <si>
    <t>AJ121</t>
  </si>
  <si>
    <t xml:space="preserve">Jose Facette </t>
  </si>
  <si>
    <t>Ana Maria Perez</t>
  </si>
  <si>
    <t>Fabiola Facette</t>
  </si>
  <si>
    <t>Jhonathan Amador</t>
  </si>
  <si>
    <t>Cheo Amador</t>
  </si>
  <si>
    <t>Gustavo Amador</t>
  </si>
  <si>
    <t>AJ122</t>
  </si>
  <si>
    <t>AJ123</t>
  </si>
  <si>
    <t>AJ124</t>
  </si>
  <si>
    <t>Teddy Arroyo</t>
  </si>
  <si>
    <t>Acompañante de Teddy</t>
  </si>
  <si>
    <t>Ezequiel Martinez</t>
  </si>
  <si>
    <t>Alba Facette</t>
  </si>
  <si>
    <t>Yesenia Martinez</t>
  </si>
  <si>
    <t>Bety</t>
  </si>
  <si>
    <t>Jhony Martinez</t>
  </si>
  <si>
    <t>Yakelin Facette</t>
  </si>
  <si>
    <t>Marcela Facette</t>
  </si>
  <si>
    <t>Arturo Gomez</t>
  </si>
  <si>
    <t xml:space="preserve">Cesar Obando </t>
  </si>
  <si>
    <t>Yulibeth Martinez</t>
  </si>
  <si>
    <t xml:space="preserve">Harly Mora </t>
  </si>
  <si>
    <t xml:space="preserve">Paola Arrazola </t>
  </si>
  <si>
    <t>Rafael Andres</t>
  </si>
  <si>
    <t>Jose Rosado</t>
  </si>
  <si>
    <t>Tatiana Arazola</t>
  </si>
  <si>
    <t>Alvaro Arazola</t>
  </si>
  <si>
    <t>Maribel Acosta</t>
  </si>
  <si>
    <t>Andrea Benites</t>
  </si>
  <si>
    <t>Rosiris Zabaleta</t>
  </si>
  <si>
    <t>AJ125</t>
  </si>
  <si>
    <t>Edgar Herrera</t>
  </si>
  <si>
    <t>Beronica Charris</t>
  </si>
  <si>
    <t>Edgar Junior Herrera</t>
  </si>
  <si>
    <t>Milagros Herrera</t>
  </si>
  <si>
    <t>Juani Fontalvo</t>
  </si>
  <si>
    <t>Elias Ariza</t>
  </si>
  <si>
    <t>Dianora Hernandez</t>
  </si>
  <si>
    <t>Luis Mancilla</t>
  </si>
  <si>
    <t>Luisa Vazques</t>
  </si>
  <si>
    <t>Kelly zapata</t>
  </si>
  <si>
    <t>Jesus Barrios</t>
  </si>
  <si>
    <t>Sharon Lopez</t>
  </si>
  <si>
    <t>Marley Vasquez</t>
  </si>
  <si>
    <t>Andrea Mojica</t>
  </si>
  <si>
    <t>Valery  Anaya</t>
  </si>
  <si>
    <t>Javier Cuesta</t>
  </si>
  <si>
    <t>Eliana Bermejo</t>
  </si>
  <si>
    <t>Harold Rachad</t>
  </si>
  <si>
    <t>Keyla Barrios</t>
  </si>
  <si>
    <t>Jairo Estrada</t>
  </si>
  <si>
    <t>Adolfo Lora</t>
  </si>
  <si>
    <t>Mileidis Ruiz</t>
  </si>
  <si>
    <t>Juliana Ayala</t>
  </si>
  <si>
    <t>Jose Consuegra</t>
  </si>
  <si>
    <t>Nayelis Cabreras</t>
  </si>
  <si>
    <t>Oscar Teran</t>
  </si>
  <si>
    <t>Patricia Medina</t>
  </si>
  <si>
    <t>Jairo Badillo</t>
  </si>
  <si>
    <t>Daniela Posada</t>
  </si>
  <si>
    <t>Anibal Caro</t>
  </si>
  <si>
    <t>Maria Alejandra Posada</t>
  </si>
  <si>
    <t>Jose David Puentes</t>
  </si>
  <si>
    <t>Carlos Fontalvo</t>
  </si>
  <si>
    <t>Carlos Posada</t>
  </si>
  <si>
    <t>Fabian A Posada</t>
  </si>
  <si>
    <t>Afonso Rodriguez</t>
  </si>
  <si>
    <t>Oscar Matruana</t>
  </si>
  <si>
    <t>Julieht Pacheco</t>
  </si>
  <si>
    <t>Stefany Truyol</t>
  </si>
  <si>
    <t>Invitados Novio</t>
  </si>
  <si>
    <t>Harold Rosales</t>
  </si>
  <si>
    <t>Dalila De Arcos</t>
  </si>
  <si>
    <t>Lucelys Ariza</t>
  </si>
  <si>
    <t>Dialmiro Berdugo</t>
  </si>
  <si>
    <t>Karime Fontalvo</t>
  </si>
  <si>
    <t>Roberto Polo</t>
  </si>
  <si>
    <t>Juan Castro</t>
  </si>
  <si>
    <t>Josue Perez</t>
  </si>
  <si>
    <t xml:space="preserve">Maria Charris </t>
  </si>
  <si>
    <t>Michelle Charris</t>
  </si>
  <si>
    <t>Karen Pacheco</t>
  </si>
  <si>
    <t>Sr. Bestriz</t>
  </si>
  <si>
    <t>Marla Retamozo</t>
  </si>
  <si>
    <t>Gonzalo J Conrado</t>
  </si>
  <si>
    <t>Gonzalo Conrado</t>
  </si>
  <si>
    <t>Rafa Conrado</t>
  </si>
  <si>
    <t>Lia Conrado</t>
  </si>
  <si>
    <t>Roberto Romero</t>
  </si>
  <si>
    <t>Ledys de Romero</t>
  </si>
  <si>
    <t>Karla Romero</t>
  </si>
  <si>
    <t>Marla Romero</t>
  </si>
  <si>
    <t>Diego Mejia</t>
  </si>
  <si>
    <t>Daniela Ariza</t>
  </si>
  <si>
    <t>Randy Ariza</t>
  </si>
  <si>
    <t>Mery Del Castillo</t>
  </si>
  <si>
    <t>Jair Ariza</t>
  </si>
  <si>
    <t>Lizeht Martinez</t>
  </si>
  <si>
    <t>Maria V Prieto</t>
  </si>
  <si>
    <t>Lira Perez &amp; Guillermo Prieto</t>
  </si>
  <si>
    <t>AJ126</t>
  </si>
  <si>
    <t>Lira Perez</t>
  </si>
  <si>
    <t>Guillermo Prieto</t>
  </si>
  <si>
    <t>Maria Veronica Prieto</t>
  </si>
  <si>
    <t>Guillermo A Prieto</t>
  </si>
  <si>
    <t>Mayra De Alba</t>
  </si>
  <si>
    <t>Brayder Prieto</t>
  </si>
  <si>
    <t>Jhoana Sayas</t>
  </si>
  <si>
    <t>Alfredo Gutierrez</t>
  </si>
  <si>
    <t>Miladys Leal</t>
  </si>
  <si>
    <t>Teofilo Gutierrez</t>
  </si>
  <si>
    <t>Versuka Fontalvo</t>
  </si>
  <si>
    <t>Mesa 14</t>
  </si>
  <si>
    <t xml:space="preserve">Heisilen Martinez </t>
  </si>
  <si>
    <t>Yemileth Martinez</t>
  </si>
  <si>
    <t>Sebastian Facette</t>
  </si>
  <si>
    <t>Maria Fontalvo</t>
  </si>
  <si>
    <t>Bilma Charris</t>
  </si>
  <si>
    <t>Gualdo Pizarro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</si>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</sst>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5" x14ac:knownFonts="1">
    <font>
      <sz val="11"/>
      <color theme="1"/>
      <name val="Calibri"/>
      <family val="2"/>
      <charset val="1"/>
    </font>
    <font>
      <i/>
      <sz val="10"/>
      <color rgb="FF888780"/>
      <name val="Calibri"/>
      <family val="2"/>
    </font>
    <font>
      <sz val="9"/>
      <color rgb="FF888780"/>
      <name val="Calibri"/>
      <family val="2"/>
    </font>
    <font>
      <b/>
      <sz val="11"/>
      <color rgb="FFFFFFFF"/>
      <name val="Calibri"/>
      <family val="2"/>
    </font>
    <font>
      <sz val="10"/>
      <color rgb="FF2C2C2A"/>
      <name val="Calibri"/>
      <family val="2"/>
    </font>
    <font>
      <sz val="9"/>
      <color rgb="FF2C2C2A"/>
      <name val="Calibri"/>
      <family val="2"/>
    </font>
    <font>
      <b/>
      <sz val="10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2C2C2A"/>
      <name val="Calibri"/>
      <family val="2"/>
    </font>
    <font>
      <b/>
      <sz val="9"/>
      <color rgb="FF7F77DD"/>
      <name val="Calibri"/>
      <family val="2"/>
    </font>
    <font>
      <b/>
      <sz val="9"/>
      <color rgb="FFD85A30"/>
      <name val="Calibri"/>
      <family val="2"/>
    </font>
    <font>
      <b/>
      <sz val="9"/>
      <color rgb="FF185FA5"/>
      <name val="Calibri"/>
      <family val="2"/>
    </font>
    <font>
      <b/>
      <sz val="9"/>
      <color rgb="FFBA7517"/>
      <name val="Calibri"/>
      <family val="2"/>
    </font>
    <font>
      <b/>
      <sz val="9"/>
      <color rgb="FF1D9E75"/>
      <name val="Calibri"/>
      <family val="2"/>
    </font>
    <font>
      <sz val="10"/>
      <color rgb="FF1D9E75"/>
      <name val="Calibri"/>
      <family val="2"/>
    </font>
    <font>
      <sz val="10"/>
      <color rgb="FFD85A30"/>
      <name val="Calibri"/>
      <family val="2"/>
    </font>
    <font>
      <sz val="10"/>
      <color rgb="FF888780"/>
      <name val="Calibri"/>
      <family val="2"/>
    </font>
    <font>
      <i/>
      <sz val="9"/>
      <color rgb="FF888780"/>
      <name val="Calibri"/>
      <family val="2"/>
    </font>
    <font>
      <sz val="10"/>
      <color rgb="FF2C2C2A"/>
      <name val="Calibri"/>
      <family val="2"/>
      <charset val="1"/>
    </font>
    <font>
      <b/>
      <sz val="10"/>
      <color rgb="FF2C2C2A"/>
      <name val="Calibri"/>
      <charset val="1"/>
    </font>
    <font>
      <b/>
      <sz val="9"/>
      <color rgb="FF1D9E75"/>
      <name val="Calibri"/>
      <family val="2"/>
      <charset val="1"/>
    </font>
    <font>
      <b/>
      <sz val="10"/>
      <color rgb="FF2C2C2A"/>
      <name val="Calibri"/>
      <family val="2"/>
      <charset val="1"/>
    </font>
    <font>
      <sz val="8"/>
      <name val="Calibri"/>
      <family val="2"/>
      <charset val="1"/>
    </font>
    <font>
      <sz val="10"/>
      <name val="Calibri"/>
      <family val="2"/>
    </font>
    <font>
      <sz val="1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D85A30"/>
        <bgColor rgb="FFBA7517"/>
      </patternFill>
    </fill>
    <fill>
      <patternFill patternType="solid">
        <fgColor rgb="FFFAECE7"/>
        <bgColor rgb="FFFAEEDA"/>
      </patternFill>
    </fill>
    <fill>
      <patternFill patternType="solid">
        <fgColor rgb="FFF1EFE8"/>
        <bgColor rgb="FFEEEEEE"/>
      </patternFill>
    </fill>
    <fill>
      <patternFill patternType="solid">
        <fgColor rgb="FFFFFFFF"/>
        <bgColor rgb="FFF9F9F7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2C2C2A"/>
        <bgColor rgb="FF333300"/>
      </patternFill>
    </fill>
    <fill>
      <patternFill patternType="solid">
        <fgColor rgb="FFEEEDFE"/>
        <bgColor rgb="FFEEEEEE"/>
      </patternFill>
    </fill>
    <fill>
      <patternFill patternType="solid">
        <fgColor rgb="FFF9F9F7"/>
        <bgColor rgb="FFFFFFFF"/>
      </patternFill>
    </fill>
    <fill>
      <patternFill patternType="solid">
        <fgColor rgb="FFE6F1FB"/>
        <bgColor rgb="FFEEEDFE"/>
      </patternFill>
    </fill>
    <fill>
      <patternFill patternType="solid">
        <fgColor rgb="FFFAEEDA"/>
        <bgColor rgb="FFFAECE7"/>
      </patternFill>
    </fill>
    <fill>
      <patternFill patternType="solid">
        <fgColor rgb="FF185FA5"/>
        <bgColor rgb="FF0F6E56"/>
      </patternFill>
    </fill>
    <fill>
      <patternFill patternType="solid">
        <fgColor rgb="FF7F77DD"/>
        <bgColor rgb="FF888780"/>
      </patternFill>
    </fill>
    <fill>
      <patternFill patternType="solid">
        <fgColor rgb="FFBA7517"/>
        <bgColor rgb="FFD85A30"/>
      </patternFill>
    </fill>
    <fill>
      <patternFill patternType="solid">
        <fgColor rgb="FF1D9E75"/>
        <bgColor rgb="FF008080"/>
      </patternFill>
    </fill>
    <fill>
      <patternFill patternType="solid">
        <fgColor rgb="FFF0997B"/>
        <bgColor rgb="FFFF99CC"/>
      </patternFill>
    </fill>
    <fill>
      <patternFill patternType="solid">
        <fgColor rgb="FF378ADD"/>
        <bgColor rgb="FF1D9E75"/>
      </patternFill>
    </fill>
    <fill>
      <patternFill patternType="solid">
        <fgColor rgb="FF534AB7"/>
        <bgColor rgb="FF333399"/>
      </patternFill>
    </fill>
    <fill>
      <patternFill patternType="solid">
        <fgColor rgb="FF3B6D11"/>
        <bgColor rgb="FF0F6E56"/>
      </patternFill>
    </fill>
    <fill>
      <patternFill patternType="solid">
        <fgColor rgb="FFA32D2D"/>
        <bgColor rgb="FF993366"/>
      </patternFill>
    </fill>
  </fills>
  <borders count="14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2C2C2A"/>
      </left>
      <right style="thin">
        <color rgb="FF2C2C2A"/>
      </right>
      <top style="thin">
        <color rgb="FF2C2C2A"/>
      </top>
      <bottom style="thin">
        <color rgb="FF2C2C2A"/>
      </bottom>
      <diagonal/>
    </border>
    <border>
      <left style="thin">
        <color rgb="FFD85A30"/>
      </left>
      <right style="thin">
        <color rgb="FFD85A30"/>
      </right>
      <top style="thin">
        <color rgb="FFD85A30"/>
      </top>
      <bottom style="thin">
        <color rgb="FFD85A30"/>
      </bottom>
      <diagonal/>
    </border>
    <border>
      <left style="thin">
        <color rgb="FF2C2C2A"/>
      </left>
      <right style="thin">
        <color rgb="FF2C2C2A"/>
      </right>
      <top/>
      <bottom style="thin">
        <color rgb="FF2C2C2A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5" borderId="1" xfId="0" applyFont="1" applyFill="1" applyBorder="1"/>
    <xf numFmtId="0" fontId="3" fillId="8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164" fontId="15" fillId="3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/>
    <xf numFmtId="164" fontId="8" fillId="10" borderId="1" xfId="0" applyNumberFormat="1" applyFont="1" applyFill="1" applyBorder="1" applyAlignment="1">
      <alignment horizontal="right" vertical="center"/>
    </xf>
    <xf numFmtId="164" fontId="16" fillId="10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/>
    <xf numFmtId="164" fontId="16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0" fontId="17" fillId="5" borderId="1" xfId="0" applyFont="1" applyFill="1" applyBorder="1"/>
    <xf numFmtId="0" fontId="17" fillId="10" borderId="1" xfId="0" applyFont="1" applyFill="1" applyBorder="1"/>
    <xf numFmtId="0" fontId="3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6" fillId="20" borderId="8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center" vertical="center"/>
    </xf>
    <xf numFmtId="0" fontId="6" fillId="16" borderId="0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18" borderId="8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6" fillId="19" borderId="0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top"/>
    </xf>
    <xf numFmtId="0" fontId="19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top"/>
    </xf>
    <xf numFmtId="0" fontId="24" fillId="0" borderId="1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 patternType="none">
          <fgColor indexed="64"/>
          <bgColor auto="1"/>
        </patternFill>
      </fill>
      <border outline="0">
        <left style="thin">
          <color rgb="FFEEEEEE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D9E75"/>
        <name val="Calibri"/>
        <charset val="1"/>
        <scheme val="none"/>
      </font>
      <fill>
        <patternFill patternType="solid">
          <fgColor rgb="FFE6F1FB"/>
          <bgColor rgb="FFE1F5E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EEEEE"/>
        </left>
        <right style="thin">
          <color rgb="FFEEEEEE"/>
        </right>
        <top style="thin">
          <color rgb="FFEEEEEE"/>
        </top>
        <bottom style="thin">
          <color rgb="FFEEEE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C2C2A"/>
        <name val="Calibri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EEEEE"/>
        </left>
        <right style="thin">
          <color rgb="FFEEEEEE"/>
        </right>
        <top style="thin">
          <color rgb="FFEEEEEE"/>
        </top>
        <bottom style="thin">
          <color rgb="FFEEEEE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C2C2A"/>
        <name val="Calibri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EEEEEE"/>
        </left>
        <right style="thin">
          <color rgb="FFEEEEEE"/>
        </right>
        <top style="thin">
          <color rgb="FFEEEEEE"/>
        </top>
        <bottom style="thin">
          <color rgb="FFEEEEEE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 outline="0">
        <top style="thin">
          <color rgb="FFEEEEEE"/>
        </top>
      </border>
    </dxf>
    <dxf>
      <border outline="0">
        <top style="thin">
          <color rgb="FF2C2C2A"/>
        </top>
        <bottom style="thin">
          <color rgb="FFEEEEEE"/>
        </bottom>
      </border>
    </dxf>
    <dxf>
      <border outline="0">
        <bottom style="thin">
          <color rgb="FF2C2C2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333300"/>
          <bgColor rgb="FF2C2C2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2C2C2A"/>
        </left>
        <right style="thin">
          <color rgb="FF2C2C2A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F6E56"/>
      <rgbColor rgb="FFEEEDFE"/>
      <rgbColor rgb="FF888780"/>
      <rgbColor rgb="FF7F77DD"/>
      <rgbColor rgb="FF993366"/>
      <rgbColor rgb="FFFAEEDA"/>
      <rgbColor rgb="FFE1F5EE"/>
      <rgbColor rgb="FF660066"/>
      <rgbColor rgb="FFF0997B"/>
      <rgbColor rgb="FF185FA5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EEEEE"/>
      <rgbColor rgb="FFFAECE7"/>
      <rgbColor rgb="FFF9F9F7"/>
      <rgbColor rgb="FFFF99CC"/>
      <rgbColor rgb="FFCC99FF"/>
      <rgbColor rgb="FFF1EFE8"/>
      <rgbColor rgb="FF378ADD"/>
      <rgbColor rgb="FF33CCCC"/>
      <rgbColor rgb="FF99CC00"/>
      <rgbColor rgb="FFFFCC00"/>
      <rgbColor rgb="FFEF9F27"/>
      <rgbColor rgb="FFD85A30"/>
      <rgbColor rgb="FF534AB7"/>
      <rgbColor rgb="FF969696"/>
      <rgbColor rgb="FF003366"/>
      <rgbColor rgb="FF1D9E75"/>
      <rgbColor rgb="FF003300"/>
      <rgbColor rgb="FF333300"/>
      <rgbColor rgb="FFA32D2D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 del PC" refreshedDate="46274.855044560187" createdVersion="8" refreshedVersion="7" minRefreshableVersion="3" recordCount="126" xr:uid="{1AD2CC58-54F9-45BD-8D89-2F93856E0827}">
  <cacheSource type="worksheet">
    <worksheetSource name="Tabla1"/>
  </cacheSource>
  <cacheFields count="4">
    <cacheField name="NOMBRE / FAMILIA" numFmtId="0">
      <sharedItems/>
    </cacheField>
    <cacheField name="PERSONAS" numFmtId="0">
      <sharedItems containsSemiMixedTypes="0" containsString="0" containsNumber="1" containsInteger="1" minValue="1" maxValue="5"/>
    </cacheField>
    <cacheField name="FORMA DE ENVIO " numFmtId="0">
      <sharedItems/>
    </cacheField>
    <cacheField name="GRUPO" numFmtId="0">
      <sharedItems containsBlank="1" count="9">
        <s v="Familia Novio"/>
        <s v="Familia Novia"/>
        <s v="Amigos Novio"/>
        <s v="Amigos Común"/>
        <s v="Amigos Novia"/>
        <s v="Invitados Novio"/>
        <m u="1"/>
        <s v="Invitados Xiomara" u="1"/>
        <s v="Invitados Je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Xiomara Ariza De La Hoz"/>
    <n v="1"/>
    <s v="VIRTUAL"/>
    <x v="0"/>
  </r>
  <r>
    <s v="Javier Ariza De La Hoz"/>
    <n v="1"/>
    <s v="VIRTUAL"/>
    <x v="0"/>
  </r>
  <r>
    <s v="Nellys Ariza De La Hoz"/>
    <n v="1"/>
    <s v="VIRTUAL"/>
    <x v="0"/>
  </r>
  <r>
    <s v="Diego Mejia Diaz &amp; Daniela Ariza"/>
    <n v="2"/>
    <s v="VIRTUAL"/>
    <x v="0"/>
  </r>
  <r>
    <s v="Oscar Maturana &amp; Julieht Pacheco"/>
    <n v="2"/>
    <s v="VIRTUAL"/>
    <x v="0"/>
  </r>
  <r>
    <s v="Maria Maturana"/>
    <n v="1"/>
    <s v="VIRTUAL"/>
    <x v="0"/>
  </r>
  <r>
    <s v="Rocio Ariza"/>
    <n v="1"/>
    <s v="VIRTUAL"/>
    <x v="0"/>
  </r>
  <r>
    <s v="Sebastian Ariza"/>
    <n v="1"/>
    <s v="VIRTUAL"/>
    <x v="0"/>
  </r>
  <r>
    <s v="Juani Fontalvo &amp; Elias Ariza"/>
    <n v="2"/>
    <s v="VIRTUAL"/>
    <x v="0"/>
  </r>
  <r>
    <s v="Danilo Padilla"/>
    <n v="1"/>
    <s v="VIRTUAL"/>
    <x v="0"/>
  </r>
  <r>
    <s v="Esther Charris"/>
    <n v="1"/>
    <s v="FISICA"/>
    <x v="0"/>
  </r>
  <r>
    <s v="Jose Charris Charris"/>
    <n v="1"/>
    <s v="VIRTUAL"/>
    <x v="0"/>
  </r>
  <r>
    <s v="Roberto Charris Charris"/>
    <n v="1"/>
    <s v="VIRTUAL"/>
    <x v="0"/>
  </r>
  <r>
    <s v="Victor Mendoza"/>
    <n v="1"/>
    <s v="VIRTUAL"/>
    <x v="0"/>
  </r>
  <r>
    <s v="Maria Lourdes Charris Ariza"/>
    <n v="1"/>
    <s v="VIRTUAL"/>
    <x v="0"/>
  </r>
  <r>
    <s v="Michelle Charris Ariza"/>
    <n v="1"/>
    <s v="VIRTUAL"/>
    <x v="0"/>
  </r>
  <r>
    <s v="Juan Camilo Castro Penagos"/>
    <n v="1"/>
    <s v="VIRTUAL"/>
    <x v="0"/>
  </r>
  <r>
    <s v="Josue Perez Fontalvo"/>
    <n v="1"/>
    <s v="VIRTUAL"/>
    <x v="0"/>
  </r>
  <r>
    <s v="Monica Ariza"/>
    <n v="1"/>
    <s v="VIRTUAL"/>
    <x v="0"/>
  </r>
  <r>
    <s v="Familia Pizarro Charris"/>
    <n v="2"/>
    <s v="FISICA"/>
    <x v="0"/>
  </r>
  <r>
    <s v="Erlinda Charris"/>
    <n v="1"/>
    <s v="VIRTUAL"/>
    <x v="0"/>
  </r>
  <r>
    <s v="Zander  Castro"/>
    <n v="1"/>
    <s v="VIRTUAL"/>
    <x v="0"/>
  </r>
  <r>
    <s v="MARUJA MEJIA"/>
    <n v="1"/>
    <s v="VIRTUAL"/>
    <x v="0"/>
  </r>
  <r>
    <s v="Randy Ariza &amp; Mery Del Castillo"/>
    <n v="2"/>
    <s v="VIRTUAL"/>
    <x v="0"/>
  </r>
  <r>
    <s v="Jair Ariza &amp; Lizeth Martinez"/>
    <n v="2"/>
    <s v="VIRTUAL"/>
    <x v="0"/>
  </r>
  <r>
    <s v="Hugo Facette &amp; Xiomara Posada"/>
    <n v="2"/>
    <s v="VIRTUAL"/>
    <x v="1"/>
  </r>
  <r>
    <s v="Dulce Facette"/>
    <n v="1"/>
    <s v="VIRTUAL"/>
    <x v="1"/>
  </r>
  <r>
    <s v="Arturo Gomez &amp; Marcela Facette"/>
    <n v="2"/>
    <s v="VIRTUAL"/>
    <x v="1"/>
  </r>
  <r>
    <s v="Gabriela Gomez Facette"/>
    <n v="1"/>
    <s v="VIRTUAL"/>
    <x v="1"/>
  </r>
  <r>
    <s v="Alfonso Caballero &amp; Claudia Posada"/>
    <n v="2"/>
    <s v="VIRTUAL"/>
    <x v="1"/>
  </r>
  <r>
    <s v="Fabiola Alvarez"/>
    <n v="1"/>
    <s v="FISICA"/>
    <x v="1"/>
  </r>
  <r>
    <s v="Anibal Caro &amp; Daniela Posada"/>
    <n v="2"/>
    <s v="VIRTUAL"/>
    <x v="1"/>
  </r>
  <r>
    <s v="German Dario Posada"/>
    <n v="1"/>
    <s v="VIRTUAL"/>
    <x v="1"/>
  </r>
  <r>
    <s v="German Posada &amp; Milena Castelar"/>
    <n v="2"/>
    <s v="VIRTUAL"/>
    <x v="1"/>
  </r>
  <r>
    <s v="Jorge Andres Posada"/>
    <n v="1"/>
    <s v="VIRTUAL"/>
    <x v="1"/>
  </r>
  <r>
    <s v="Jose David Puentes &amp; Maria Alejandra Posada"/>
    <n v="2"/>
    <s v="VIRTUAL"/>
    <x v="1"/>
  </r>
  <r>
    <s v="Jorge Posada Alvarez"/>
    <n v="1"/>
    <s v="VIRTUAL"/>
    <x v="1"/>
  </r>
  <r>
    <s v="Lucelys Taborda"/>
    <n v="1"/>
    <s v="VIRTUAL"/>
    <x v="1"/>
  </r>
  <r>
    <s v="Carlos Posada &amp; Fabian Posada"/>
    <n v="2"/>
    <s v="VIRTUAL"/>
    <x v="1"/>
  </r>
  <r>
    <s v="Fabian Posada"/>
    <n v="1"/>
    <s v="FISICA"/>
    <x v="1"/>
  </r>
  <r>
    <s v="Andres Fontalvo"/>
    <n v="1"/>
    <s v="VIRTUAL"/>
    <x v="1"/>
  </r>
  <r>
    <s v="Carlos David Fontalvo"/>
    <n v="1"/>
    <s v="VIRTUAL"/>
    <x v="1"/>
  </r>
  <r>
    <s v="Melani Fontalvo"/>
    <n v="1"/>
    <s v="VIRTUAL"/>
    <x v="1"/>
  </r>
  <r>
    <s v="Veruska Fontalvo y Teofilo Gutierrez"/>
    <n v="2"/>
    <s v="VIRTUAL"/>
    <x v="1"/>
  </r>
  <r>
    <s v="Ana Maria y Magola"/>
    <n v="2"/>
    <s v="VIRTUAL"/>
    <x v="1"/>
  </r>
  <r>
    <s v="Jose Facette &amp; Ana Perez"/>
    <n v="2"/>
    <s v="VIRTUAL"/>
    <x v="1"/>
  </r>
  <r>
    <s v="Sergio Facette"/>
    <n v="1"/>
    <s v="VIRTUAL"/>
    <x v="1"/>
  </r>
  <r>
    <s v="Fabiola Facette"/>
    <n v="1"/>
    <s v="VIRTUAL"/>
    <x v="1"/>
  </r>
  <r>
    <s v="Cheo Amador"/>
    <n v="1"/>
    <s v="VIRTUAL"/>
    <x v="1"/>
  </r>
  <r>
    <s v="Jhonathan Amador"/>
    <n v="1"/>
    <s v="VIRTUAL"/>
    <x v="1"/>
  </r>
  <r>
    <s v="Gustavo Amador"/>
    <n v="1"/>
    <s v="VIRTUAL"/>
    <x v="1"/>
  </r>
  <r>
    <s v="Ezequiel Martinez &amp; Alba Facette"/>
    <n v="2"/>
    <s v="VIRTUAL"/>
    <x v="1"/>
  </r>
  <r>
    <s v="Cesar Obando &amp; Yulibeth Martinez"/>
    <n v="2"/>
    <s v="VIRTUAL"/>
    <x v="1"/>
  </r>
  <r>
    <s v="Yakelin Facette &amp; Jhony Martinez"/>
    <n v="2"/>
    <s v="VIRTUAL"/>
    <x v="1"/>
  </r>
  <r>
    <s v="Heisilen Martinez &amp; Yemileth Martinez"/>
    <n v="2"/>
    <s v="VIRTUAL"/>
    <x v="1"/>
  </r>
  <r>
    <s v="Yesenia Martinez &amp; Bety"/>
    <n v="2"/>
    <s v="VIRTUAL"/>
    <x v="1"/>
  </r>
  <r>
    <s v="Jose Zapata"/>
    <n v="1"/>
    <s v="VIRTUAL"/>
    <x v="2"/>
  </r>
  <r>
    <s v="Yirman Berdugo"/>
    <n v="1"/>
    <s v="VIRTUAL"/>
    <x v="2"/>
  </r>
  <r>
    <s v="Luis Almanza"/>
    <n v="1"/>
    <s v="VIRTUAL"/>
    <x v="2"/>
  </r>
  <r>
    <s v="Adolfo Lora &amp; Mileidis Ruiz"/>
    <n v="2"/>
    <s v="VIRTUAL"/>
    <x v="2"/>
  </r>
  <r>
    <s v="Kelly Barrios"/>
    <n v="1"/>
    <s v="VIRTUAL"/>
    <x v="2"/>
  </r>
  <r>
    <s v="Luis Mancilla &amp; Luisa Vasquez"/>
    <n v="2"/>
    <s v="VIRTUAL"/>
    <x v="2"/>
  </r>
  <r>
    <s v="Greshel Nieto"/>
    <n v="1"/>
    <s v="VIRTUAL"/>
    <x v="2"/>
  </r>
  <r>
    <s v="Karen Pacheco Alvarez"/>
    <n v="1"/>
    <s v="VIRTUAL"/>
    <x v="2"/>
  </r>
  <r>
    <s v="Juan Camilo Lacouture"/>
    <n v="1"/>
    <s v="VIRTUAL"/>
    <x v="2"/>
  </r>
  <r>
    <s v="Blanca Osorio"/>
    <n v="1"/>
    <s v="VIRTUAL"/>
    <x v="2"/>
  </r>
  <r>
    <s v="Rita Perez"/>
    <n v="1"/>
    <s v="VIRTUAL"/>
    <x v="2"/>
  </r>
  <r>
    <s v="Marley Vasquez &amp; Andrea Mojica"/>
    <n v="2"/>
    <s v="VIRTUAL"/>
    <x v="2"/>
  </r>
  <r>
    <s v="Jesus Barrios &amp; Sharon Lopez"/>
    <n v="2"/>
    <s v="VIRTUAL"/>
    <x v="2"/>
  </r>
  <r>
    <s v="Jairo Badillo &amp; Patricia Medina"/>
    <n v="2"/>
    <s v="FISICA"/>
    <x v="2"/>
  </r>
  <r>
    <s v="Kelly Zapata"/>
    <n v="1"/>
    <s v="VIRTUAL"/>
    <x v="2"/>
  </r>
  <r>
    <s v="Jaime Zuluaga &amp; Auris Fontalvo"/>
    <n v="2"/>
    <s v="VIRTUAL"/>
    <x v="2"/>
  </r>
  <r>
    <s v="Yenifer Monsalve"/>
    <n v="1"/>
    <s v="VIRTUAL"/>
    <x v="2"/>
  </r>
  <r>
    <s v="Sebastian Facette y Maria Fontalvo"/>
    <n v="2"/>
    <s v="VIRTUAL"/>
    <x v="1"/>
  </r>
  <r>
    <s v="Jairo Estrada &amp; Keila Barrios"/>
    <n v="2"/>
    <s v="VIRTUAL"/>
    <x v="3"/>
  </r>
  <r>
    <s v="Lilia Lora"/>
    <n v="1"/>
    <s v="VIRTUAL"/>
    <x v="4"/>
  </r>
  <r>
    <s v="Eliana Bermejo &amp; Harold Rachath"/>
    <n v="2"/>
    <s v="VIRTUAL"/>
    <x v="4"/>
  </r>
  <r>
    <s v="Auxy Padilla"/>
    <n v="1"/>
    <s v="VIRTUAL"/>
    <x v="4"/>
  </r>
  <r>
    <s v="Ana Vallejo"/>
    <n v="1"/>
    <s v="VIRTUAL"/>
    <x v="4"/>
  </r>
  <r>
    <s v="Javier Cuesta &amp; Valery Anaya "/>
    <n v="2"/>
    <s v="VIRTUAL"/>
    <x v="4"/>
  </r>
  <r>
    <s v="Maria Fernanda Salas"/>
    <n v="1"/>
    <s v="VIRTUAL"/>
    <x v="4"/>
  </r>
  <r>
    <s v="Oscar Teran &amp; Daniela Teran"/>
    <n v="1"/>
    <s v="VIRTUAL"/>
    <x v="3"/>
  </r>
  <r>
    <s v="Jose Consuegra &amp; Juliana Ayala"/>
    <n v="2"/>
    <s v="VIRTUAL"/>
    <x v="3"/>
  </r>
  <r>
    <s v="Nayeilis Cabreras"/>
    <n v="1"/>
    <s v="VIRTUAL"/>
    <x v="4"/>
  </r>
  <r>
    <s v="Laura Galezo"/>
    <n v="1"/>
    <s v="VIRTUAL"/>
    <x v="4"/>
  </r>
  <r>
    <s v="Stefany Truyol Muriel"/>
    <n v="1"/>
    <s v="VIRTUAL"/>
    <x v="2"/>
  </r>
  <r>
    <s v="Leydi Peralta"/>
    <n v="1"/>
    <s v="VIRTUAL"/>
    <x v="4"/>
  </r>
  <r>
    <s v="Ligia Agrego"/>
    <n v="1"/>
    <s v="VIRTUAL"/>
    <x v="4"/>
  </r>
  <r>
    <s v="Carolina Lugo"/>
    <n v="1"/>
    <s v="VIRTUAL"/>
    <x v="4"/>
  </r>
  <r>
    <s v="Daniela Barrios"/>
    <n v="1"/>
    <s v="VIRTUAL"/>
    <x v="4"/>
  </r>
  <r>
    <s v="Victor Mendoza &amp; Dianora hernandez"/>
    <n v="2"/>
    <s v="VIRTUAL"/>
    <x v="4"/>
  </r>
  <r>
    <s v="Familia Lemus"/>
    <n v="2"/>
    <s v="VIRTUAL"/>
    <x v="4"/>
  </r>
  <r>
    <s v="Tedy Arroyo &amp; Acompañante"/>
    <n v="2"/>
    <s v="VIRTUAL"/>
    <x v="4"/>
  </r>
  <r>
    <s v="Gabriel Manrriaga"/>
    <n v="1"/>
    <s v="VIRTUAL"/>
    <x v="3"/>
  </r>
  <r>
    <s v="Alfredo Gutierrez &amp; Miladys Varela"/>
    <n v="2"/>
    <s v="VIRTUAL"/>
    <x v="3"/>
  </r>
  <r>
    <s v="Harly Mora - Paola Arrazola - Rafael Andres"/>
    <n v="3"/>
    <s v="VIRTUAL"/>
    <x v="3"/>
  </r>
  <r>
    <s v="Jose Rosado &amp; Tatiana Arrazola"/>
    <n v="2"/>
    <s v="VIRTUAL"/>
    <x v="3"/>
  </r>
  <r>
    <s v="Alvaro Arrazola &amp; Maribel acosta "/>
    <n v="2"/>
    <s v="VIRTUAL"/>
    <x v="3"/>
  </r>
  <r>
    <s v="Andrea Benitez"/>
    <n v="1"/>
    <s v="VIRTUAL"/>
    <x v="3"/>
  </r>
  <r>
    <s v="Rosiris Zabaleta"/>
    <n v="1"/>
    <s v="VIRTUAL"/>
    <x v="3"/>
  </r>
  <r>
    <s v="Mayra Arrazola"/>
    <n v="1"/>
    <s v="VIRTUAL"/>
    <x v="3"/>
  </r>
  <r>
    <s v="Lira Perez &amp; Guillermo Prieto"/>
    <n v="2"/>
    <s v="VIRTUAL"/>
    <x v="3"/>
  </r>
  <r>
    <s v="Maria V Prieto"/>
    <n v="1"/>
    <s v="VIRTUAL"/>
    <x v="3"/>
  </r>
  <r>
    <s v="Brayder Prieto &amp; Jhoana Sayas"/>
    <n v="2"/>
    <s v="VIRTUAL"/>
    <x v="3"/>
  </r>
  <r>
    <s v="Guillermo Prieto &amp; Mayra de Alba"/>
    <n v="2"/>
    <s v="VIRTUAL"/>
    <x v="3"/>
  </r>
  <r>
    <s v="Familia Romero"/>
    <n v="4"/>
    <s v="VIRTUAL"/>
    <x v="3"/>
  </r>
  <r>
    <s v="Edgar Herrera &amp; Milagros Herrera"/>
    <n v="2"/>
    <s v="VIRTUAL"/>
    <x v="3"/>
  </r>
  <r>
    <s v="Edgar Herrera &amp; Beronica Charris"/>
    <n v="2"/>
    <s v="VIRTUAL"/>
    <x v="3"/>
  </r>
  <r>
    <s v="Rosiris Miranda"/>
    <n v="1"/>
    <s v="VIRTUAL"/>
    <x v="3"/>
  </r>
  <r>
    <s v="Sr. Beatriz"/>
    <n v="1"/>
    <s v="VIRTUAL"/>
    <x v="4"/>
  </r>
  <r>
    <s v="Novios"/>
    <n v="2"/>
    <s v="VIRTUAL"/>
    <x v="3"/>
  </r>
  <r>
    <s v="Alfonso Rodriguez"/>
    <n v="1"/>
    <s v="VIRTUAL"/>
    <x v="3"/>
  </r>
  <r>
    <s v="Rafael Rodriguez"/>
    <n v="1"/>
    <s v="VIRTUAL"/>
    <x v="3"/>
  </r>
  <r>
    <s v="Familia Retamozo"/>
    <n v="5"/>
    <s v="VIRTUAL"/>
    <x v="3"/>
  </r>
  <r>
    <s v="Yamile Ganboa"/>
    <n v="1"/>
    <s v="VIRTUAL"/>
    <x v="5"/>
  </r>
  <r>
    <s v="Roberto Polo &amp; Karime Fonatlvo"/>
    <n v="2"/>
    <s v="VIRTUAL"/>
    <x v="5"/>
  </r>
  <r>
    <s v="Marbel Morales"/>
    <n v="1"/>
    <s v="VIRTUAL"/>
    <x v="5"/>
  </r>
  <r>
    <s v="Ligia Ariza"/>
    <n v="1"/>
    <s v="VIRTUAL"/>
    <x v="5"/>
  </r>
  <r>
    <s v="Ana Luisa Fontalvo"/>
    <n v="1"/>
    <s v="VIRTUAL"/>
    <x v="5"/>
  </r>
  <r>
    <s v="Mireya Muriel"/>
    <n v="1"/>
    <s v="VIRTUAL"/>
    <x v="5"/>
  </r>
  <r>
    <s v="Yadira Roca"/>
    <n v="1"/>
    <s v="VIRTUAL"/>
    <x v="5"/>
  </r>
  <r>
    <s v="Liliana Caballero"/>
    <n v="1"/>
    <s v="VIRTUAL"/>
    <x v="5"/>
  </r>
  <r>
    <s v="Yakelin Roca"/>
    <n v="1"/>
    <s v="VIRTUAL"/>
    <x v="5"/>
  </r>
  <r>
    <s v="Dialmiro Berdugo &amp; Lucelys Ariza"/>
    <n v="2"/>
    <s v="VIRTUAL"/>
    <x v="5"/>
  </r>
  <r>
    <s v="Verena Roca"/>
    <n v="1"/>
    <s v="VIRTUAL"/>
    <x v="5"/>
  </r>
  <r>
    <s v="Dalila De Arcos &amp; Harold Rosales"/>
    <n v="2"/>
    <s v="VIRTUAL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27089-ADD7-46CF-A94C-80AE73F3D551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I20:J27" firstHeaderRow="1" firstDataRow="1" firstDataCol="1"/>
  <pivotFields count="4">
    <pivotField showAll="0"/>
    <pivotField dataField="1" showAll="0"/>
    <pivotField showAll="0"/>
    <pivotField axis="axisRow" showAll="0">
      <items count="10">
        <item x="3"/>
        <item x="4"/>
        <item x="2"/>
        <item x="1"/>
        <item x="0"/>
        <item m="1" x="8"/>
        <item m="1" x="6"/>
        <item m="1" x="7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Items count="1">
    <i/>
  </colItems>
  <dataFields count="1">
    <dataField name="Suma de PERSONAS" fld="1" baseField="0" baseItem="0"/>
  </dataFields>
  <formats count="10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Row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0C652-2C8F-49A6-ADA8-162A997645A7}" name="Tabla1" displayName="Tabla1" ref="C4:F130" totalsRowShown="0" headerRowDxfId="27" headerRowBorderDxfId="26" tableBorderDxfId="25" totalsRowBorderDxfId="24">
  <autoFilter ref="C4:F130" xr:uid="{03B0C652-2C8F-49A6-ADA8-162A997645A7}"/>
  <tableColumns count="4">
    <tableColumn id="1" xr3:uid="{5CBB2843-8047-4726-86A4-8FC954861808}" name="NOMBRE / FAMILIA" dataDxfId="3"/>
    <tableColumn id="2" xr3:uid="{D3D45952-64DA-4700-9243-34AE1478467D}" name="PERSONAS" dataDxfId="2"/>
    <tableColumn id="4" xr3:uid="{15AACBCE-E31D-47C9-8DF7-37831A875824}" name="FORMA DE ENVIO " dataDxfId="0"/>
    <tableColumn id="3" xr3:uid="{95C0EA0D-31CF-40FC-BE63-8EC7360915B0}" name="GRU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baseColWidth="10" defaultColWidth="8.7109375" defaultRowHeight="15" x14ac:dyDescent="0.25"/>
  <cols>
    <col min="1" max="1" width="4" customWidth="1"/>
    <col min="2" max="2" width="6" customWidth="1"/>
    <col min="3" max="3" width="32" customWidth="1"/>
    <col min="4" max="4" width="8.5703125" style="25" customWidth="1"/>
    <col min="5" max="5" width="21.7109375" style="25" bestFit="1" customWidth="1"/>
    <col min="6" max="6" width="22" customWidth="1"/>
    <col min="9" max="9" width="19.85546875" style="25" bestFit="1" customWidth="1"/>
    <col min="10" max="10" width="18.5703125" style="25" bestFit="1" customWidth="1"/>
  </cols>
  <sheetData>
    <row r="1" spans="2:6" ht="7.5" customHeight="1" x14ac:dyDescent="0.25"/>
    <row r="2" spans="2:6" ht="36" customHeight="1" x14ac:dyDescent="0.25">
      <c r="B2" s="34" t="s">
        <v>9</v>
      </c>
      <c r="C2" s="34"/>
      <c r="D2" s="34"/>
      <c r="E2" s="34"/>
      <c r="F2" s="34"/>
    </row>
    <row r="4" spans="2:6" ht="21.75" customHeight="1" x14ac:dyDescent="0.25">
      <c r="B4" s="2" t="s">
        <v>242</v>
      </c>
      <c r="C4" s="24" t="s">
        <v>10</v>
      </c>
      <c r="D4" s="24" t="s">
        <v>11</v>
      </c>
      <c r="E4" s="24" t="s">
        <v>266</v>
      </c>
      <c r="F4" s="24" t="s">
        <v>12</v>
      </c>
    </row>
    <row r="5" spans="2:6" ht="18" customHeight="1" x14ac:dyDescent="0.25">
      <c r="B5" s="30" t="s">
        <v>145</v>
      </c>
      <c r="C5" s="76" t="s">
        <v>347</v>
      </c>
      <c r="D5" s="33">
        <v>1</v>
      </c>
      <c r="E5" s="33" t="s">
        <v>319</v>
      </c>
      <c r="F5" s="3" t="s">
        <v>4</v>
      </c>
    </row>
    <row r="6" spans="2:6" ht="18" customHeight="1" x14ac:dyDescent="0.25">
      <c r="B6" s="4" t="s">
        <v>146</v>
      </c>
      <c r="C6" s="76" t="s">
        <v>345</v>
      </c>
      <c r="D6" s="33">
        <v>1</v>
      </c>
      <c r="E6" s="33" t="s">
        <v>319</v>
      </c>
      <c r="F6" s="3" t="s">
        <v>4</v>
      </c>
    </row>
    <row r="7" spans="2:6" ht="18" customHeight="1" x14ac:dyDescent="0.25">
      <c r="B7" s="30" t="s">
        <v>147</v>
      </c>
      <c r="C7" s="76" t="s">
        <v>346</v>
      </c>
      <c r="D7" s="33">
        <v>1</v>
      </c>
      <c r="E7" s="33" t="s">
        <v>319</v>
      </c>
      <c r="F7" s="3" t="s">
        <v>4</v>
      </c>
    </row>
    <row r="8" spans="2:6" ht="18" customHeight="1" x14ac:dyDescent="0.25">
      <c r="B8" s="4" t="s">
        <v>148</v>
      </c>
      <c r="C8" s="76" t="s">
        <v>285</v>
      </c>
      <c r="D8" s="33">
        <v>2</v>
      </c>
      <c r="E8" s="33" t="s">
        <v>319</v>
      </c>
      <c r="F8" s="3" t="s">
        <v>4</v>
      </c>
    </row>
    <row r="9" spans="2:6" ht="18" customHeight="1" x14ac:dyDescent="0.25">
      <c r="B9" s="30" t="s">
        <v>149</v>
      </c>
      <c r="C9" s="76" t="s">
        <v>287</v>
      </c>
      <c r="D9" s="33">
        <v>2</v>
      </c>
      <c r="E9" s="33" t="s">
        <v>319</v>
      </c>
      <c r="F9" s="3" t="s">
        <v>4</v>
      </c>
    </row>
    <row r="10" spans="2:6" ht="18" customHeight="1" x14ac:dyDescent="0.25">
      <c r="B10" s="4" t="s">
        <v>150</v>
      </c>
      <c r="C10" s="76" t="s">
        <v>286</v>
      </c>
      <c r="D10" s="33">
        <v>1</v>
      </c>
      <c r="E10" s="33" t="s">
        <v>319</v>
      </c>
      <c r="F10" s="3" t="s">
        <v>4</v>
      </c>
    </row>
    <row r="11" spans="2:6" ht="18" customHeight="1" x14ac:dyDescent="0.25">
      <c r="B11" s="30" t="s">
        <v>151</v>
      </c>
      <c r="C11" s="76" t="s">
        <v>288</v>
      </c>
      <c r="D11" s="33">
        <v>1</v>
      </c>
      <c r="E11" s="33" t="s">
        <v>319</v>
      </c>
      <c r="F11" s="3" t="s">
        <v>4</v>
      </c>
    </row>
    <row r="12" spans="2:6" ht="18" customHeight="1" x14ac:dyDescent="0.25">
      <c r="B12" s="4" t="s">
        <v>152</v>
      </c>
      <c r="C12" s="76" t="s">
        <v>289</v>
      </c>
      <c r="D12" s="33">
        <v>1</v>
      </c>
      <c r="E12" s="33" t="s">
        <v>319</v>
      </c>
      <c r="F12" s="3" t="s">
        <v>4</v>
      </c>
    </row>
    <row r="13" spans="2:6" ht="18" customHeight="1" x14ac:dyDescent="0.25">
      <c r="B13" s="30" t="s">
        <v>153</v>
      </c>
      <c r="C13" s="76" t="s">
        <v>290</v>
      </c>
      <c r="D13" s="33">
        <v>2</v>
      </c>
      <c r="E13" s="33" t="s">
        <v>319</v>
      </c>
      <c r="F13" s="3" t="s">
        <v>4</v>
      </c>
    </row>
    <row r="14" spans="2:6" ht="18" customHeight="1" x14ac:dyDescent="0.25">
      <c r="B14" s="4" t="s">
        <v>154</v>
      </c>
      <c r="C14" s="76" t="s">
        <v>13</v>
      </c>
      <c r="D14" s="33">
        <v>1</v>
      </c>
      <c r="E14" s="33" t="s">
        <v>319</v>
      </c>
      <c r="F14" s="3" t="s">
        <v>4</v>
      </c>
    </row>
    <row r="15" spans="2:6" ht="18" customHeight="1" x14ac:dyDescent="0.25">
      <c r="B15" s="30" t="s">
        <v>155</v>
      </c>
      <c r="C15" s="79" t="s">
        <v>350</v>
      </c>
      <c r="D15" s="80">
        <v>1</v>
      </c>
      <c r="E15" s="33" t="s">
        <v>269</v>
      </c>
      <c r="F15" s="3" t="s">
        <v>4</v>
      </c>
    </row>
    <row r="16" spans="2:6" ht="18" customHeight="1" x14ac:dyDescent="0.25">
      <c r="B16" s="4" t="s">
        <v>156</v>
      </c>
      <c r="C16" s="79" t="s">
        <v>351</v>
      </c>
      <c r="D16" s="80">
        <v>1</v>
      </c>
      <c r="E16" s="33" t="s">
        <v>319</v>
      </c>
      <c r="F16" s="3" t="s">
        <v>4</v>
      </c>
    </row>
    <row r="17" spans="2:10" ht="18" customHeight="1" x14ac:dyDescent="0.25">
      <c r="B17" s="30" t="s">
        <v>157</v>
      </c>
      <c r="C17" s="76" t="s">
        <v>352</v>
      </c>
      <c r="D17" s="33">
        <v>1</v>
      </c>
      <c r="E17" s="33" t="s">
        <v>319</v>
      </c>
      <c r="F17" s="3" t="s">
        <v>4</v>
      </c>
      <c r="I17"/>
      <c r="J17"/>
    </row>
    <row r="18" spans="2:10" ht="18" customHeight="1" x14ac:dyDescent="0.25">
      <c r="B18" s="4" t="s">
        <v>158</v>
      </c>
      <c r="C18" s="76" t="s">
        <v>14</v>
      </c>
      <c r="D18" s="33">
        <v>1</v>
      </c>
      <c r="E18" s="33" t="s">
        <v>319</v>
      </c>
      <c r="F18" s="3" t="s">
        <v>4</v>
      </c>
    </row>
    <row r="19" spans="2:10" ht="18" customHeight="1" x14ac:dyDescent="0.25">
      <c r="B19" s="30" t="s">
        <v>159</v>
      </c>
      <c r="C19" s="79" t="s">
        <v>243</v>
      </c>
      <c r="D19" s="80">
        <v>1</v>
      </c>
      <c r="E19" s="81" t="s">
        <v>319</v>
      </c>
      <c r="F19" s="3" t="s">
        <v>4</v>
      </c>
    </row>
    <row r="20" spans="2:10" ht="18" customHeight="1" x14ac:dyDescent="0.25">
      <c r="B20" s="4" t="s">
        <v>160</v>
      </c>
      <c r="C20" s="79" t="s">
        <v>244</v>
      </c>
      <c r="D20" s="80">
        <v>1</v>
      </c>
      <c r="E20" s="81" t="s">
        <v>319</v>
      </c>
      <c r="F20" s="3" t="s">
        <v>4</v>
      </c>
      <c r="I20" s="26" t="s">
        <v>91</v>
      </c>
      <c r="J20" s="25" t="s">
        <v>93</v>
      </c>
    </row>
    <row r="21" spans="2:10" ht="18" customHeight="1" x14ac:dyDescent="0.25">
      <c r="B21" s="30" t="s">
        <v>161</v>
      </c>
      <c r="C21" s="79" t="s">
        <v>249</v>
      </c>
      <c r="D21" s="80">
        <v>1</v>
      </c>
      <c r="E21" s="81" t="s">
        <v>319</v>
      </c>
      <c r="F21" s="3" t="s">
        <v>4</v>
      </c>
      <c r="I21" s="25" t="s">
        <v>29</v>
      </c>
      <c r="J21" s="31">
        <v>43</v>
      </c>
    </row>
    <row r="22" spans="2:10" ht="18" customHeight="1" x14ac:dyDescent="0.25">
      <c r="B22" s="4" t="s">
        <v>162</v>
      </c>
      <c r="C22" s="79" t="s">
        <v>250</v>
      </c>
      <c r="D22" s="80">
        <v>1</v>
      </c>
      <c r="E22" s="81" t="s">
        <v>319</v>
      </c>
      <c r="F22" s="3" t="s">
        <v>4</v>
      </c>
      <c r="I22" s="25" t="s">
        <v>25</v>
      </c>
      <c r="J22" s="31">
        <v>21</v>
      </c>
    </row>
    <row r="23" spans="2:10" ht="18" customHeight="1" x14ac:dyDescent="0.25">
      <c r="B23" s="30" t="s">
        <v>163</v>
      </c>
      <c r="C23" s="76" t="s">
        <v>15</v>
      </c>
      <c r="D23" s="33">
        <v>1</v>
      </c>
      <c r="E23" s="33" t="s">
        <v>319</v>
      </c>
      <c r="F23" s="3" t="s">
        <v>4</v>
      </c>
      <c r="I23" s="25" t="s">
        <v>20</v>
      </c>
      <c r="J23" s="31">
        <v>24</v>
      </c>
    </row>
    <row r="24" spans="2:10" ht="18" customHeight="1" x14ac:dyDescent="0.25">
      <c r="B24" s="4" t="s">
        <v>164</v>
      </c>
      <c r="C24" s="76" t="s">
        <v>245</v>
      </c>
      <c r="D24" s="33">
        <v>2</v>
      </c>
      <c r="E24" s="33" t="s">
        <v>269</v>
      </c>
      <c r="F24" s="3" t="s">
        <v>4</v>
      </c>
      <c r="I24" s="25" t="s">
        <v>0</v>
      </c>
      <c r="J24" s="31">
        <v>48</v>
      </c>
    </row>
    <row r="25" spans="2:10" ht="18" customHeight="1" x14ac:dyDescent="0.25">
      <c r="B25" s="30" t="s">
        <v>165</v>
      </c>
      <c r="C25" s="76" t="s">
        <v>16</v>
      </c>
      <c r="D25" s="33">
        <v>1</v>
      </c>
      <c r="E25" s="33" t="s">
        <v>319</v>
      </c>
      <c r="F25" s="3" t="s">
        <v>4</v>
      </c>
      <c r="I25" s="25" t="s">
        <v>4</v>
      </c>
      <c r="J25" s="31">
        <v>31</v>
      </c>
    </row>
    <row r="26" spans="2:10" ht="18" customHeight="1" x14ac:dyDescent="0.25">
      <c r="B26" s="4" t="s">
        <v>166</v>
      </c>
      <c r="C26" s="76" t="s">
        <v>246</v>
      </c>
      <c r="D26" s="33">
        <v>1</v>
      </c>
      <c r="E26" s="33" t="s">
        <v>319</v>
      </c>
      <c r="F26" s="3" t="s">
        <v>4</v>
      </c>
      <c r="I26" s="25" t="s">
        <v>428</v>
      </c>
      <c r="J26" s="31">
        <v>15</v>
      </c>
    </row>
    <row r="27" spans="2:10" ht="18" customHeight="1" x14ac:dyDescent="0.25">
      <c r="B27" s="30" t="s">
        <v>167</v>
      </c>
      <c r="C27" s="76" t="s">
        <v>130</v>
      </c>
      <c r="D27" s="33">
        <v>1</v>
      </c>
      <c r="E27" s="33" t="s">
        <v>319</v>
      </c>
      <c r="F27" s="3" t="s">
        <v>4</v>
      </c>
      <c r="I27" s="25" t="s">
        <v>92</v>
      </c>
      <c r="J27" s="31">
        <v>182</v>
      </c>
    </row>
    <row r="28" spans="2:10" ht="18" customHeight="1" x14ac:dyDescent="0.25">
      <c r="B28" s="4" t="s">
        <v>168</v>
      </c>
      <c r="C28" s="79" t="s">
        <v>247</v>
      </c>
      <c r="D28" s="80">
        <v>2</v>
      </c>
      <c r="E28" s="81" t="s">
        <v>319</v>
      </c>
      <c r="F28" s="3" t="s">
        <v>4</v>
      </c>
      <c r="I28"/>
      <c r="J28"/>
    </row>
    <row r="29" spans="2:10" ht="18" customHeight="1" x14ac:dyDescent="0.25">
      <c r="B29" s="30" t="s">
        <v>169</v>
      </c>
      <c r="C29" s="79" t="s">
        <v>248</v>
      </c>
      <c r="D29" s="80">
        <v>2</v>
      </c>
      <c r="E29" s="81" t="s">
        <v>319</v>
      </c>
      <c r="F29" s="3" t="s">
        <v>4</v>
      </c>
    </row>
    <row r="30" spans="2:10" ht="18" customHeight="1" x14ac:dyDescent="0.25">
      <c r="B30" s="4" t="s">
        <v>170</v>
      </c>
      <c r="C30" s="76" t="s">
        <v>251</v>
      </c>
      <c r="D30" s="33">
        <v>2</v>
      </c>
      <c r="E30" s="33" t="s">
        <v>319</v>
      </c>
      <c r="F30" s="6" t="s">
        <v>0</v>
      </c>
    </row>
    <row r="31" spans="2:10" ht="18" customHeight="1" x14ac:dyDescent="0.25">
      <c r="B31" s="30" t="s">
        <v>171</v>
      </c>
      <c r="C31" s="79" t="s">
        <v>291</v>
      </c>
      <c r="D31" s="80">
        <v>1</v>
      </c>
      <c r="E31" s="81" t="s">
        <v>319</v>
      </c>
      <c r="F31" s="6" t="s">
        <v>0</v>
      </c>
    </row>
    <row r="32" spans="2:10" ht="18" customHeight="1" x14ac:dyDescent="0.25">
      <c r="B32" s="4" t="s">
        <v>172</v>
      </c>
      <c r="C32" s="76" t="s">
        <v>252</v>
      </c>
      <c r="D32" s="33">
        <v>2</v>
      </c>
      <c r="E32" s="33" t="s">
        <v>319</v>
      </c>
      <c r="F32" s="6" t="s">
        <v>0</v>
      </c>
    </row>
    <row r="33" spans="2:6" ht="18" customHeight="1" x14ac:dyDescent="0.25">
      <c r="B33" s="30" t="s">
        <v>173</v>
      </c>
      <c r="C33" s="79" t="s">
        <v>253</v>
      </c>
      <c r="D33" s="80">
        <v>1</v>
      </c>
      <c r="E33" s="81" t="s">
        <v>319</v>
      </c>
      <c r="F33" s="6" t="s">
        <v>0</v>
      </c>
    </row>
    <row r="34" spans="2:6" ht="18" customHeight="1" x14ac:dyDescent="0.25">
      <c r="B34" s="4" t="s">
        <v>174</v>
      </c>
      <c r="C34" s="76" t="s">
        <v>254</v>
      </c>
      <c r="D34" s="33">
        <v>2</v>
      </c>
      <c r="E34" s="33" t="s">
        <v>319</v>
      </c>
      <c r="F34" s="6" t="s">
        <v>0</v>
      </c>
    </row>
    <row r="35" spans="2:6" ht="18" customHeight="1" x14ac:dyDescent="0.25">
      <c r="B35" s="30" t="s">
        <v>175</v>
      </c>
      <c r="C35" s="76" t="s">
        <v>17</v>
      </c>
      <c r="D35" s="33">
        <v>1</v>
      </c>
      <c r="E35" s="33" t="s">
        <v>269</v>
      </c>
      <c r="F35" s="6" t="s">
        <v>0</v>
      </c>
    </row>
    <row r="36" spans="2:6" ht="18" customHeight="1" x14ac:dyDescent="0.25">
      <c r="B36" s="4" t="s">
        <v>176</v>
      </c>
      <c r="C36" s="76" t="s">
        <v>255</v>
      </c>
      <c r="D36" s="33">
        <v>2</v>
      </c>
      <c r="E36" s="33" t="s">
        <v>319</v>
      </c>
      <c r="F36" s="6" t="s">
        <v>0</v>
      </c>
    </row>
    <row r="37" spans="2:6" ht="18" customHeight="1" x14ac:dyDescent="0.25">
      <c r="B37" s="30" t="s">
        <v>177</v>
      </c>
      <c r="C37" s="79" t="s">
        <v>256</v>
      </c>
      <c r="D37" s="80">
        <v>1</v>
      </c>
      <c r="E37" s="81" t="s">
        <v>319</v>
      </c>
      <c r="F37" s="6" t="s">
        <v>0</v>
      </c>
    </row>
    <row r="38" spans="2:6" ht="18" customHeight="1" x14ac:dyDescent="0.25">
      <c r="B38" s="4" t="s">
        <v>178</v>
      </c>
      <c r="C38" s="76" t="s">
        <v>257</v>
      </c>
      <c r="D38" s="33">
        <v>2</v>
      </c>
      <c r="E38" s="33" t="s">
        <v>319</v>
      </c>
      <c r="F38" s="6" t="s">
        <v>0</v>
      </c>
    </row>
    <row r="39" spans="2:6" ht="18" customHeight="1" x14ac:dyDescent="0.25">
      <c r="B39" s="30" t="s">
        <v>179</v>
      </c>
      <c r="C39" s="79" t="s">
        <v>258</v>
      </c>
      <c r="D39" s="80">
        <v>1</v>
      </c>
      <c r="E39" s="81" t="s">
        <v>319</v>
      </c>
      <c r="F39" s="6" t="s">
        <v>0</v>
      </c>
    </row>
    <row r="40" spans="2:6" ht="18" customHeight="1" x14ac:dyDescent="0.25">
      <c r="B40" s="4" t="s">
        <v>180</v>
      </c>
      <c r="C40" s="76" t="s">
        <v>259</v>
      </c>
      <c r="D40" s="33">
        <v>2</v>
      </c>
      <c r="E40" s="33" t="s">
        <v>319</v>
      </c>
      <c r="F40" s="6" t="s">
        <v>0</v>
      </c>
    </row>
    <row r="41" spans="2:6" ht="18" customHeight="1" x14ac:dyDescent="0.25">
      <c r="B41" s="30" t="s">
        <v>181</v>
      </c>
      <c r="C41" s="79" t="s">
        <v>260</v>
      </c>
      <c r="D41" s="80">
        <v>1</v>
      </c>
      <c r="E41" s="81" t="s">
        <v>319</v>
      </c>
      <c r="F41" s="6" t="s">
        <v>0</v>
      </c>
    </row>
    <row r="42" spans="2:6" ht="18" customHeight="1" x14ac:dyDescent="0.25">
      <c r="B42" s="4" t="s">
        <v>182</v>
      </c>
      <c r="C42" s="76" t="s">
        <v>261</v>
      </c>
      <c r="D42" s="33">
        <v>1</v>
      </c>
      <c r="E42" s="33" t="s">
        <v>319</v>
      </c>
      <c r="F42" s="6" t="s">
        <v>0</v>
      </c>
    </row>
    <row r="43" spans="2:6" ht="18" customHeight="1" x14ac:dyDescent="0.25">
      <c r="B43" s="30" t="s">
        <v>183</v>
      </c>
      <c r="C43" s="76" t="s">
        <v>262</v>
      </c>
      <c r="D43" s="33">
        <v>2</v>
      </c>
      <c r="E43" s="33" t="s">
        <v>319</v>
      </c>
      <c r="F43" s="6" t="s">
        <v>0</v>
      </c>
    </row>
    <row r="44" spans="2:6" ht="18" customHeight="1" x14ac:dyDescent="0.25">
      <c r="B44" s="4" t="s">
        <v>184</v>
      </c>
      <c r="C44" s="76" t="s">
        <v>263</v>
      </c>
      <c r="D44" s="33">
        <v>1</v>
      </c>
      <c r="E44" s="33" t="s">
        <v>269</v>
      </c>
      <c r="F44" s="6" t="s">
        <v>0</v>
      </c>
    </row>
    <row r="45" spans="2:6" ht="18" customHeight="1" x14ac:dyDescent="0.25">
      <c r="B45" s="30" t="s">
        <v>185</v>
      </c>
      <c r="C45" s="76" t="s">
        <v>18</v>
      </c>
      <c r="D45" s="33">
        <v>1</v>
      </c>
      <c r="E45" s="33" t="s">
        <v>319</v>
      </c>
      <c r="F45" s="6" t="s">
        <v>0</v>
      </c>
    </row>
    <row r="46" spans="2:6" ht="18" customHeight="1" x14ac:dyDescent="0.25">
      <c r="B46" s="4" t="s">
        <v>186</v>
      </c>
      <c r="C46" s="79" t="s">
        <v>264</v>
      </c>
      <c r="D46" s="80">
        <v>1</v>
      </c>
      <c r="E46" s="81" t="s">
        <v>319</v>
      </c>
      <c r="F46" s="6" t="s">
        <v>0</v>
      </c>
    </row>
    <row r="47" spans="2:6" ht="18" customHeight="1" x14ac:dyDescent="0.25">
      <c r="B47" s="30" t="s">
        <v>187</v>
      </c>
      <c r="C47" s="76" t="s">
        <v>265</v>
      </c>
      <c r="D47" s="33">
        <v>1</v>
      </c>
      <c r="E47" s="33" t="s">
        <v>319</v>
      </c>
      <c r="F47" s="6" t="s">
        <v>0</v>
      </c>
    </row>
    <row r="48" spans="2:6" ht="18" customHeight="1" x14ac:dyDescent="0.25">
      <c r="B48" s="4" t="s">
        <v>188</v>
      </c>
      <c r="C48" s="76" t="s">
        <v>271</v>
      </c>
      <c r="D48" s="33">
        <v>2</v>
      </c>
      <c r="E48" s="33" t="s">
        <v>319</v>
      </c>
      <c r="F48" s="6" t="s">
        <v>0</v>
      </c>
    </row>
    <row r="49" spans="2:6" ht="18" customHeight="1" x14ac:dyDescent="0.25">
      <c r="B49" s="30" t="s">
        <v>189</v>
      </c>
      <c r="C49" s="76" t="s">
        <v>19</v>
      </c>
      <c r="D49" s="33">
        <v>2</v>
      </c>
      <c r="E49" s="33" t="s">
        <v>319</v>
      </c>
      <c r="F49" s="6" t="s">
        <v>0</v>
      </c>
    </row>
    <row r="50" spans="2:6" ht="18" customHeight="1" x14ac:dyDescent="0.25">
      <c r="B50" s="4" t="s">
        <v>190</v>
      </c>
      <c r="C50" s="76" t="s">
        <v>268</v>
      </c>
      <c r="D50" s="33">
        <v>2</v>
      </c>
      <c r="E50" s="33" t="s">
        <v>319</v>
      </c>
      <c r="F50" s="6" t="s">
        <v>0</v>
      </c>
    </row>
    <row r="51" spans="2:6" ht="18" customHeight="1" x14ac:dyDescent="0.25">
      <c r="B51" s="30" t="s">
        <v>191</v>
      </c>
      <c r="C51" s="79" t="s">
        <v>270</v>
      </c>
      <c r="D51" s="80">
        <v>1</v>
      </c>
      <c r="E51" s="81" t="s">
        <v>319</v>
      </c>
      <c r="F51" s="6" t="s">
        <v>0</v>
      </c>
    </row>
    <row r="52" spans="2:6" ht="18" customHeight="1" x14ac:dyDescent="0.25">
      <c r="B52" s="30" t="s">
        <v>192</v>
      </c>
      <c r="C52" s="79" t="s">
        <v>360</v>
      </c>
      <c r="D52" s="80">
        <v>1</v>
      </c>
      <c r="E52" s="81" t="s">
        <v>319</v>
      </c>
      <c r="F52" s="6" t="s">
        <v>0</v>
      </c>
    </row>
    <row r="53" spans="2:6" ht="18" customHeight="1" x14ac:dyDescent="0.25">
      <c r="B53" s="4" t="s">
        <v>193</v>
      </c>
      <c r="C53" s="79" t="s">
        <v>362</v>
      </c>
      <c r="D53" s="80">
        <v>1</v>
      </c>
      <c r="E53" s="81" t="s">
        <v>319</v>
      </c>
      <c r="F53" s="6" t="s">
        <v>0</v>
      </c>
    </row>
    <row r="54" spans="2:6" ht="18" customHeight="1" x14ac:dyDescent="0.25">
      <c r="B54" s="30" t="s">
        <v>194</v>
      </c>
      <c r="C54" s="79" t="s">
        <v>361</v>
      </c>
      <c r="D54" s="80">
        <v>1</v>
      </c>
      <c r="E54" s="81" t="s">
        <v>319</v>
      </c>
      <c r="F54" s="6" t="s">
        <v>0</v>
      </c>
    </row>
    <row r="55" spans="2:6" ht="18" customHeight="1" x14ac:dyDescent="0.25">
      <c r="B55" s="30" t="s">
        <v>195</v>
      </c>
      <c r="C55" s="76" t="s">
        <v>363</v>
      </c>
      <c r="D55" s="33">
        <v>1</v>
      </c>
      <c r="E55" s="33" t="s">
        <v>319</v>
      </c>
      <c r="F55" s="6" t="s">
        <v>0</v>
      </c>
    </row>
    <row r="56" spans="2:6" ht="18" customHeight="1" x14ac:dyDescent="0.25">
      <c r="B56" s="4" t="s">
        <v>196</v>
      </c>
      <c r="C56" s="76" t="s">
        <v>339</v>
      </c>
      <c r="D56" s="33">
        <v>2</v>
      </c>
      <c r="E56" s="33" t="s">
        <v>319</v>
      </c>
      <c r="F56" s="6" t="s">
        <v>0</v>
      </c>
    </row>
    <row r="57" spans="2:6" ht="18" customHeight="1" x14ac:dyDescent="0.25">
      <c r="B57" s="30" t="s">
        <v>197</v>
      </c>
      <c r="C57" s="76" t="s">
        <v>340</v>
      </c>
      <c r="D57" s="33">
        <v>2</v>
      </c>
      <c r="E57" s="33" t="s">
        <v>319</v>
      </c>
      <c r="F57" s="6" t="s">
        <v>0</v>
      </c>
    </row>
    <row r="58" spans="2:6" ht="18" customHeight="1" x14ac:dyDescent="0.25">
      <c r="B58" s="30" t="s">
        <v>198</v>
      </c>
      <c r="C58" s="79" t="s">
        <v>355</v>
      </c>
      <c r="D58" s="80">
        <v>2</v>
      </c>
      <c r="E58" s="33" t="s">
        <v>319</v>
      </c>
      <c r="F58" s="6" t="s">
        <v>0</v>
      </c>
    </row>
    <row r="59" spans="2:6" ht="18" customHeight="1" x14ac:dyDescent="0.25">
      <c r="B59" s="4" t="s">
        <v>199</v>
      </c>
      <c r="C59" s="76" t="s">
        <v>356</v>
      </c>
      <c r="D59" s="33">
        <v>2</v>
      </c>
      <c r="E59" s="33" t="s">
        <v>319</v>
      </c>
      <c r="F59" s="6" t="s">
        <v>0</v>
      </c>
    </row>
    <row r="60" spans="2:6" ht="18" customHeight="1" x14ac:dyDescent="0.25">
      <c r="B60" s="30" t="s">
        <v>200</v>
      </c>
      <c r="C60" s="76" t="s">
        <v>341</v>
      </c>
      <c r="D60" s="33">
        <v>2</v>
      </c>
      <c r="E60" s="33" t="s">
        <v>319</v>
      </c>
      <c r="F60" s="6" t="s">
        <v>0</v>
      </c>
    </row>
    <row r="61" spans="2:6" ht="18" customHeight="1" x14ac:dyDescent="0.25">
      <c r="B61" s="30" t="s">
        <v>201</v>
      </c>
      <c r="C61" s="76" t="s">
        <v>272</v>
      </c>
      <c r="D61" s="33">
        <v>1</v>
      </c>
      <c r="E61" s="33" t="s">
        <v>319</v>
      </c>
      <c r="F61" s="7" t="s">
        <v>20</v>
      </c>
    </row>
    <row r="62" spans="2:6" ht="18" customHeight="1" x14ac:dyDescent="0.25">
      <c r="B62" s="4" t="s">
        <v>202</v>
      </c>
      <c r="C62" s="76" t="s">
        <v>267</v>
      </c>
      <c r="D62" s="33">
        <v>1</v>
      </c>
      <c r="E62" s="33" t="s">
        <v>319</v>
      </c>
      <c r="F62" s="7" t="s">
        <v>20</v>
      </c>
    </row>
    <row r="63" spans="2:6" ht="18" customHeight="1" x14ac:dyDescent="0.25">
      <c r="B63" s="30" t="s">
        <v>203</v>
      </c>
      <c r="C63" s="76" t="s">
        <v>21</v>
      </c>
      <c r="D63" s="33">
        <v>1</v>
      </c>
      <c r="E63" s="33" t="s">
        <v>319</v>
      </c>
      <c r="F63" s="7" t="s">
        <v>20</v>
      </c>
    </row>
    <row r="64" spans="2:6" ht="18" customHeight="1" x14ac:dyDescent="0.25">
      <c r="B64" s="30" t="s">
        <v>204</v>
      </c>
      <c r="C64" s="76" t="s">
        <v>281</v>
      </c>
      <c r="D64" s="33">
        <v>2</v>
      </c>
      <c r="E64" s="33" t="s">
        <v>319</v>
      </c>
      <c r="F64" s="7" t="s">
        <v>20</v>
      </c>
    </row>
    <row r="65" spans="2:6" ht="18" customHeight="1" x14ac:dyDescent="0.25">
      <c r="B65" s="4" t="s">
        <v>205</v>
      </c>
      <c r="C65" s="76" t="s">
        <v>22</v>
      </c>
      <c r="D65" s="33">
        <v>1</v>
      </c>
      <c r="E65" s="33" t="s">
        <v>319</v>
      </c>
      <c r="F65" s="7" t="s">
        <v>20</v>
      </c>
    </row>
    <row r="66" spans="2:6" ht="18" customHeight="1" x14ac:dyDescent="0.25">
      <c r="B66" s="30" t="s">
        <v>206</v>
      </c>
      <c r="C66" s="76" t="s">
        <v>273</v>
      </c>
      <c r="D66" s="33">
        <v>2</v>
      </c>
      <c r="E66" s="33" t="s">
        <v>319</v>
      </c>
      <c r="F66" s="7" t="s">
        <v>20</v>
      </c>
    </row>
    <row r="67" spans="2:6" ht="18" customHeight="1" x14ac:dyDescent="0.25">
      <c r="B67" s="30" t="s">
        <v>207</v>
      </c>
      <c r="C67" s="79" t="s">
        <v>123</v>
      </c>
      <c r="D67" s="80">
        <v>1</v>
      </c>
      <c r="E67" s="81" t="s">
        <v>319</v>
      </c>
      <c r="F67" s="7" t="s">
        <v>20</v>
      </c>
    </row>
    <row r="68" spans="2:6" ht="18" customHeight="1" x14ac:dyDescent="0.25">
      <c r="B68" s="4" t="s">
        <v>208</v>
      </c>
      <c r="C68" s="79" t="s">
        <v>276</v>
      </c>
      <c r="D68" s="80">
        <v>1</v>
      </c>
      <c r="E68" s="81" t="s">
        <v>319</v>
      </c>
      <c r="F68" s="7" t="s">
        <v>20</v>
      </c>
    </row>
    <row r="69" spans="2:6" ht="18" customHeight="1" x14ac:dyDescent="0.25">
      <c r="B69" s="30" t="s">
        <v>209</v>
      </c>
      <c r="C69" s="76" t="s">
        <v>274</v>
      </c>
      <c r="D69" s="33">
        <v>1</v>
      </c>
      <c r="E69" s="33" t="s">
        <v>319</v>
      </c>
      <c r="F69" s="7" t="s">
        <v>20</v>
      </c>
    </row>
    <row r="70" spans="2:6" ht="18" customHeight="1" x14ac:dyDescent="0.25">
      <c r="B70" s="30" t="s">
        <v>210</v>
      </c>
      <c r="C70" s="76" t="s">
        <v>275</v>
      </c>
      <c r="D70" s="33">
        <v>1</v>
      </c>
      <c r="E70" s="33" t="s">
        <v>319</v>
      </c>
      <c r="F70" s="7" t="s">
        <v>20</v>
      </c>
    </row>
    <row r="71" spans="2:6" ht="18" customHeight="1" x14ac:dyDescent="0.25">
      <c r="B71" s="4" t="s">
        <v>211</v>
      </c>
      <c r="C71" s="76" t="s">
        <v>23</v>
      </c>
      <c r="D71" s="33">
        <v>1</v>
      </c>
      <c r="E71" s="33" t="s">
        <v>319</v>
      </c>
      <c r="F71" s="7" t="s">
        <v>20</v>
      </c>
    </row>
    <row r="72" spans="2:6" ht="18" customHeight="1" x14ac:dyDescent="0.25">
      <c r="B72" s="30" t="s">
        <v>212</v>
      </c>
      <c r="C72" s="76" t="s">
        <v>282</v>
      </c>
      <c r="D72" s="33">
        <v>2</v>
      </c>
      <c r="E72" s="33" t="s">
        <v>319</v>
      </c>
      <c r="F72" s="7" t="s">
        <v>20</v>
      </c>
    </row>
    <row r="73" spans="2:6" ht="18" customHeight="1" x14ac:dyDescent="0.25">
      <c r="B73" s="30" t="s">
        <v>213</v>
      </c>
      <c r="C73" s="82" t="s">
        <v>280</v>
      </c>
      <c r="D73" s="33">
        <v>2</v>
      </c>
      <c r="E73" s="33" t="s">
        <v>319</v>
      </c>
      <c r="F73" s="7" t="s">
        <v>20</v>
      </c>
    </row>
    <row r="74" spans="2:6" ht="18" customHeight="1" x14ac:dyDescent="0.25">
      <c r="B74" s="4" t="s">
        <v>214</v>
      </c>
      <c r="C74" s="76" t="s">
        <v>277</v>
      </c>
      <c r="D74" s="33">
        <v>2</v>
      </c>
      <c r="E74" s="33" t="s">
        <v>269</v>
      </c>
      <c r="F74" s="7" t="s">
        <v>20</v>
      </c>
    </row>
    <row r="75" spans="2:6" ht="18" customHeight="1" x14ac:dyDescent="0.25">
      <c r="B75" s="30" t="s">
        <v>215</v>
      </c>
      <c r="C75" s="76" t="s">
        <v>24</v>
      </c>
      <c r="D75" s="33">
        <v>1</v>
      </c>
      <c r="E75" s="33" t="s">
        <v>319</v>
      </c>
      <c r="F75" s="7" t="s">
        <v>20</v>
      </c>
    </row>
    <row r="76" spans="2:6" ht="18" customHeight="1" x14ac:dyDescent="0.25">
      <c r="B76" s="30" t="s">
        <v>216</v>
      </c>
      <c r="C76" s="76" t="s">
        <v>278</v>
      </c>
      <c r="D76" s="33">
        <v>2</v>
      </c>
      <c r="E76" s="33" t="s">
        <v>319</v>
      </c>
      <c r="F76" s="7" t="s">
        <v>20</v>
      </c>
    </row>
    <row r="77" spans="2:6" ht="18" customHeight="1" x14ac:dyDescent="0.25">
      <c r="B77" s="4" t="s">
        <v>217</v>
      </c>
      <c r="C77" s="76" t="s">
        <v>279</v>
      </c>
      <c r="D77" s="33">
        <v>1</v>
      </c>
      <c r="E77" s="33" t="s">
        <v>319</v>
      </c>
      <c r="F77" s="7" t="s">
        <v>20</v>
      </c>
    </row>
    <row r="78" spans="2:6" ht="18" customHeight="1" x14ac:dyDescent="0.25">
      <c r="B78" s="30" t="s">
        <v>218</v>
      </c>
      <c r="C78" s="82" t="s">
        <v>283</v>
      </c>
      <c r="D78" s="33">
        <v>2</v>
      </c>
      <c r="E78" s="33" t="s">
        <v>319</v>
      </c>
      <c r="F78" s="6" t="s">
        <v>0</v>
      </c>
    </row>
    <row r="79" spans="2:6" ht="18" customHeight="1" x14ac:dyDescent="0.25">
      <c r="B79" s="30" t="s">
        <v>219</v>
      </c>
      <c r="C79" s="76" t="s">
        <v>292</v>
      </c>
      <c r="D79" s="33">
        <v>2</v>
      </c>
      <c r="E79" s="33" t="s">
        <v>319</v>
      </c>
      <c r="F79" s="9" t="s">
        <v>29</v>
      </c>
    </row>
    <row r="80" spans="2:6" ht="18" customHeight="1" x14ac:dyDescent="0.25">
      <c r="B80" s="4" t="s">
        <v>220</v>
      </c>
      <c r="C80" s="76" t="s">
        <v>293</v>
      </c>
      <c r="D80" s="33">
        <v>1</v>
      </c>
      <c r="E80" s="33" t="s">
        <v>319</v>
      </c>
      <c r="F80" s="8" t="s">
        <v>25</v>
      </c>
    </row>
    <row r="81" spans="2:6" ht="18" customHeight="1" x14ac:dyDescent="0.25">
      <c r="B81" s="30" t="s">
        <v>221</v>
      </c>
      <c r="C81" s="76" t="s">
        <v>294</v>
      </c>
      <c r="D81" s="33">
        <v>2</v>
      </c>
      <c r="E81" s="33" t="s">
        <v>319</v>
      </c>
      <c r="F81" s="8" t="s">
        <v>25</v>
      </c>
    </row>
    <row r="82" spans="2:6" ht="18" customHeight="1" x14ac:dyDescent="0.25">
      <c r="B82" s="30" t="s">
        <v>222</v>
      </c>
      <c r="C82" s="76" t="s">
        <v>295</v>
      </c>
      <c r="D82" s="33">
        <v>1</v>
      </c>
      <c r="E82" s="33" t="s">
        <v>319</v>
      </c>
      <c r="F82" s="8" t="s">
        <v>25</v>
      </c>
    </row>
    <row r="83" spans="2:6" ht="18" customHeight="1" x14ac:dyDescent="0.25">
      <c r="B83" s="4" t="s">
        <v>223</v>
      </c>
      <c r="C83" s="76" t="s">
        <v>296</v>
      </c>
      <c r="D83" s="33">
        <v>1</v>
      </c>
      <c r="E83" s="33" t="s">
        <v>319</v>
      </c>
      <c r="F83" s="8" t="s">
        <v>25</v>
      </c>
    </row>
    <row r="84" spans="2:6" ht="18" customHeight="1" x14ac:dyDescent="0.25">
      <c r="B84" s="30" t="s">
        <v>224</v>
      </c>
      <c r="C84" s="82" t="s">
        <v>337</v>
      </c>
      <c r="D84" s="33">
        <v>2</v>
      </c>
      <c r="E84" s="33" t="s">
        <v>319</v>
      </c>
      <c r="F84" s="8" t="s">
        <v>25</v>
      </c>
    </row>
    <row r="85" spans="2:6" ht="18" customHeight="1" x14ac:dyDescent="0.25">
      <c r="B85" s="30" t="s">
        <v>225</v>
      </c>
      <c r="C85" s="76" t="s">
        <v>297</v>
      </c>
      <c r="D85" s="33">
        <v>1</v>
      </c>
      <c r="E85" s="33" t="s">
        <v>319</v>
      </c>
      <c r="F85" s="8" t="s">
        <v>25</v>
      </c>
    </row>
    <row r="86" spans="2:6" ht="18" customHeight="1" x14ac:dyDescent="0.25">
      <c r="B86" s="4" t="s">
        <v>226</v>
      </c>
      <c r="C86" s="79" t="s">
        <v>298</v>
      </c>
      <c r="D86" s="33">
        <v>1</v>
      </c>
      <c r="E86" s="33" t="s">
        <v>319</v>
      </c>
      <c r="F86" s="9" t="s">
        <v>29</v>
      </c>
    </row>
    <row r="87" spans="2:6" ht="18" customHeight="1" x14ac:dyDescent="0.25">
      <c r="B87" s="30" t="s">
        <v>227</v>
      </c>
      <c r="C87" s="76" t="s">
        <v>299</v>
      </c>
      <c r="D87" s="33">
        <v>2</v>
      </c>
      <c r="E87" s="33" t="s">
        <v>319</v>
      </c>
      <c r="F87" s="9" t="s">
        <v>29</v>
      </c>
    </row>
    <row r="88" spans="2:6" ht="18" customHeight="1" x14ac:dyDescent="0.25">
      <c r="B88" s="30" t="s">
        <v>228</v>
      </c>
      <c r="C88" s="76" t="s">
        <v>300</v>
      </c>
      <c r="D88" s="33">
        <v>1</v>
      </c>
      <c r="E88" s="33" t="s">
        <v>319</v>
      </c>
      <c r="F88" s="8" t="s">
        <v>25</v>
      </c>
    </row>
    <row r="89" spans="2:6" ht="18" customHeight="1" x14ac:dyDescent="0.25">
      <c r="B89" s="4" t="s">
        <v>229</v>
      </c>
      <c r="C89" s="76" t="s">
        <v>301</v>
      </c>
      <c r="D89" s="33">
        <v>1</v>
      </c>
      <c r="E89" s="33" t="s">
        <v>319</v>
      </c>
      <c r="F89" s="8" t="s">
        <v>25</v>
      </c>
    </row>
    <row r="90" spans="2:6" ht="18" customHeight="1" x14ac:dyDescent="0.25">
      <c r="B90" s="30" t="s">
        <v>230</v>
      </c>
      <c r="C90" s="76" t="s">
        <v>284</v>
      </c>
      <c r="D90" s="33">
        <v>1</v>
      </c>
      <c r="E90" s="33" t="s">
        <v>319</v>
      </c>
      <c r="F90" s="7" t="s">
        <v>20</v>
      </c>
    </row>
    <row r="91" spans="2:6" ht="18" customHeight="1" x14ac:dyDescent="0.25">
      <c r="B91" s="30" t="s">
        <v>231</v>
      </c>
      <c r="C91" s="76" t="s">
        <v>302</v>
      </c>
      <c r="D91" s="33">
        <v>1</v>
      </c>
      <c r="E91" s="33" t="s">
        <v>319</v>
      </c>
      <c r="F91" s="8" t="s">
        <v>25</v>
      </c>
    </row>
    <row r="92" spans="2:6" ht="18" customHeight="1" x14ac:dyDescent="0.25">
      <c r="B92" s="4" t="s">
        <v>232</v>
      </c>
      <c r="C92" s="76" t="s">
        <v>28</v>
      </c>
      <c r="D92" s="33">
        <v>1</v>
      </c>
      <c r="E92" s="33" t="s">
        <v>319</v>
      </c>
      <c r="F92" s="8" t="s">
        <v>25</v>
      </c>
    </row>
    <row r="93" spans="2:6" ht="18" customHeight="1" x14ac:dyDescent="0.25">
      <c r="B93" s="30" t="s">
        <v>233</v>
      </c>
      <c r="C93" s="79" t="s">
        <v>121</v>
      </c>
      <c r="D93" s="80">
        <v>1</v>
      </c>
      <c r="E93" s="81" t="s">
        <v>319</v>
      </c>
      <c r="F93" s="8" t="s">
        <v>25</v>
      </c>
    </row>
    <row r="94" spans="2:6" ht="18" customHeight="1" x14ac:dyDescent="0.25">
      <c r="B94" s="30" t="s">
        <v>234</v>
      </c>
      <c r="C94" s="79" t="s">
        <v>122</v>
      </c>
      <c r="D94" s="80">
        <v>1</v>
      </c>
      <c r="E94" s="81" t="s">
        <v>319</v>
      </c>
      <c r="F94" s="8" t="s">
        <v>25</v>
      </c>
    </row>
    <row r="95" spans="2:6" ht="18" customHeight="1" x14ac:dyDescent="0.25">
      <c r="B95" s="4" t="s">
        <v>235</v>
      </c>
      <c r="C95" s="83" t="s">
        <v>313</v>
      </c>
      <c r="D95" s="80">
        <v>2</v>
      </c>
      <c r="E95" s="81" t="s">
        <v>319</v>
      </c>
      <c r="F95" s="8" t="s">
        <v>25</v>
      </c>
    </row>
    <row r="96" spans="2:6" ht="18" customHeight="1" x14ac:dyDescent="0.25">
      <c r="B96" s="30" t="s">
        <v>236</v>
      </c>
      <c r="C96" s="82" t="s">
        <v>338</v>
      </c>
      <c r="D96" s="80">
        <v>2</v>
      </c>
      <c r="E96" s="81" t="s">
        <v>319</v>
      </c>
      <c r="F96" s="8" t="s">
        <v>25</v>
      </c>
    </row>
    <row r="97" spans="2:6" ht="18" customHeight="1" x14ac:dyDescent="0.25">
      <c r="B97" s="30" t="s">
        <v>237</v>
      </c>
      <c r="C97" s="82" t="s">
        <v>314</v>
      </c>
      <c r="D97" s="33">
        <v>2</v>
      </c>
      <c r="E97" s="33" t="s">
        <v>319</v>
      </c>
      <c r="F97" s="8" t="s">
        <v>25</v>
      </c>
    </row>
    <row r="98" spans="2:6" ht="18" customHeight="1" x14ac:dyDescent="0.25">
      <c r="B98" s="4" t="s">
        <v>238</v>
      </c>
      <c r="C98" s="76" t="s">
        <v>120</v>
      </c>
      <c r="D98" s="33">
        <v>1</v>
      </c>
      <c r="E98" s="33" t="s">
        <v>319</v>
      </c>
      <c r="F98" s="9" t="s">
        <v>29</v>
      </c>
    </row>
    <row r="99" spans="2:6" ht="18" customHeight="1" x14ac:dyDescent="0.25">
      <c r="B99" s="30" t="s">
        <v>239</v>
      </c>
      <c r="C99" s="76" t="s">
        <v>336</v>
      </c>
      <c r="D99" s="33">
        <v>2</v>
      </c>
      <c r="E99" s="33" t="s">
        <v>319</v>
      </c>
      <c r="F99" s="9" t="s">
        <v>29</v>
      </c>
    </row>
    <row r="100" spans="2:6" ht="18" customHeight="1" x14ac:dyDescent="0.25">
      <c r="B100" s="30" t="s">
        <v>240</v>
      </c>
      <c r="C100" s="76" t="s">
        <v>303</v>
      </c>
      <c r="D100" s="33">
        <v>3</v>
      </c>
      <c r="E100" s="33" t="s">
        <v>319</v>
      </c>
      <c r="F100" s="9" t="s">
        <v>29</v>
      </c>
    </row>
    <row r="101" spans="2:6" ht="18" customHeight="1" x14ac:dyDescent="0.25">
      <c r="B101" s="4" t="s">
        <v>241</v>
      </c>
      <c r="C101" s="76" t="s">
        <v>304</v>
      </c>
      <c r="D101" s="33">
        <v>2</v>
      </c>
      <c r="E101" s="33" t="s">
        <v>319</v>
      </c>
      <c r="F101" s="9" t="s">
        <v>29</v>
      </c>
    </row>
    <row r="102" spans="2:6" ht="18" customHeight="1" x14ac:dyDescent="0.25">
      <c r="B102" s="30" t="s">
        <v>320</v>
      </c>
      <c r="C102" s="76" t="s">
        <v>305</v>
      </c>
      <c r="D102" s="33">
        <v>2</v>
      </c>
      <c r="E102" s="33" t="s">
        <v>319</v>
      </c>
      <c r="F102" s="9" t="s">
        <v>29</v>
      </c>
    </row>
    <row r="103" spans="2:6" ht="18" customHeight="1" x14ac:dyDescent="0.25">
      <c r="B103" s="30" t="s">
        <v>321</v>
      </c>
      <c r="C103" s="76" t="s">
        <v>306</v>
      </c>
      <c r="D103" s="33">
        <v>1</v>
      </c>
      <c r="E103" s="33" t="s">
        <v>319</v>
      </c>
      <c r="F103" s="9" t="s">
        <v>29</v>
      </c>
    </row>
    <row r="104" spans="2:6" ht="18" customHeight="1" x14ac:dyDescent="0.25">
      <c r="B104" s="4" t="s">
        <v>322</v>
      </c>
      <c r="C104" s="79" t="s">
        <v>387</v>
      </c>
      <c r="D104" s="80">
        <v>1</v>
      </c>
      <c r="E104" s="33" t="s">
        <v>319</v>
      </c>
      <c r="F104" s="9" t="s">
        <v>29</v>
      </c>
    </row>
    <row r="105" spans="2:6" ht="18" customHeight="1" x14ac:dyDescent="0.25">
      <c r="B105" s="30" t="s">
        <v>323</v>
      </c>
      <c r="C105" s="76" t="s">
        <v>307</v>
      </c>
      <c r="D105" s="33">
        <v>1</v>
      </c>
      <c r="E105" s="33" t="s">
        <v>319</v>
      </c>
      <c r="F105" s="9" t="s">
        <v>29</v>
      </c>
    </row>
    <row r="106" spans="2:6" ht="18" customHeight="1" x14ac:dyDescent="0.25">
      <c r="B106" s="30" t="s">
        <v>324</v>
      </c>
      <c r="C106" s="76" t="s">
        <v>457</v>
      </c>
      <c r="D106" s="33">
        <v>2</v>
      </c>
      <c r="E106" s="33" t="s">
        <v>319</v>
      </c>
      <c r="F106" s="9" t="s">
        <v>29</v>
      </c>
    </row>
    <row r="107" spans="2:6" ht="18" customHeight="1" x14ac:dyDescent="0.25">
      <c r="B107" s="4" t="s">
        <v>325</v>
      </c>
      <c r="C107" s="79" t="s">
        <v>456</v>
      </c>
      <c r="D107" s="80">
        <v>1</v>
      </c>
      <c r="E107" s="33" t="s">
        <v>319</v>
      </c>
      <c r="F107" s="9" t="s">
        <v>29</v>
      </c>
    </row>
    <row r="108" spans="2:6" ht="18" customHeight="1" x14ac:dyDescent="0.25">
      <c r="B108" s="30" t="s">
        <v>326</v>
      </c>
      <c r="C108" s="76" t="s">
        <v>308</v>
      </c>
      <c r="D108" s="33">
        <v>2</v>
      </c>
      <c r="E108" s="33" t="s">
        <v>319</v>
      </c>
      <c r="F108" s="9" t="s">
        <v>29</v>
      </c>
    </row>
    <row r="109" spans="2:6" ht="18" customHeight="1" x14ac:dyDescent="0.25">
      <c r="B109" s="30" t="s">
        <v>327</v>
      </c>
      <c r="C109" s="76" t="s">
        <v>309</v>
      </c>
      <c r="D109" s="33">
        <v>2</v>
      </c>
      <c r="E109" s="33" t="s">
        <v>319</v>
      </c>
      <c r="F109" s="9" t="s">
        <v>29</v>
      </c>
    </row>
    <row r="110" spans="2:6" ht="18" customHeight="1" x14ac:dyDescent="0.25">
      <c r="B110" s="4" t="s">
        <v>328</v>
      </c>
      <c r="C110" s="76" t="s">
        <v>312</v>
      </c>
      <c r="D110" s="33">
        <v>4</v>
      </c>
      <c r="E110" s="33" t="s">
        <v>319</v>
      </c>
      <c r="F110" s="9" t="s">
        <v>29</v>
      </c>
    </row>
    <row r="111" spans="2:6" ht="18" customHeight="1" x14ac:dyDescent="0.25">
      <c r="B111" s="30" t="s">
        <v>329</v>
      </c>
      <c r="C111" s="76" t="s">
        <v>311</v>
      </c>
      <c r="D111" s="33">
        <v>2</v>
      </c>
      <c r="E111" s="33" t="s">
        <v>319</v>
      </c>
      <c r="F111" s="9" t="s">
        <v>29</v>
      </c>
    </row>
    <row r="112" spans="2:6" ht="18" customHeight="1" x14ac:dyDescent="0.25">
      <c r="B112" s="30" t="s">
        <v>330</v>
      </c>
      <c r="C112" s="76" t="s">
        <v>310</v>
      </c>
      <c r="D112" s="33">
        <v>2</v>
      </c>
      <c r="E112" s="33" t="s">
        <v>319</v>
      </c>
      <c r="F112" s="9" t="s">
        <v>29</v>
      </c>
    </row>
    <row r="113" spans="2:6" ht="18" customHeight="1" x14ac:dyDescent="0.25">
      <c r="B113" s="4" t="s">
        <v>331</v>
      </c>
      <c r="C113" s="76" t="s">
        <v>318</v>
      </c>
      <c r="D113" s="33">
        <v>1</v>
      </c>
      <c r="E113" s="33" t="s">
        <v>319</v>
      </c>
      <c r="F113" s="9" t="s">
        <v>29</v>
      </c>
    </row>
    <row r="114" spans="2:6" ht="18" customHeight="1" x14ac:dyDescent="0.25">
      <c r="B114" s="30" t="s">
        <v>332</v>
      </c>
      <c r="C114" s="76" t="s">
        <v>30</v>
      </c>
      <c r="D114" s="33">
        <v>1</v>
      </c>
      <c r="E114" s="33" t="s">
        <v>319</v>
      </c>
      <c r="F114" s="8" t="s">
        <v>25</v>
      </c>
    </row>
    <row r="115" spans="2:6" ht="18" customHeight="1" x14ac:dyDescent="0.25">
      <c r="B115" s="30" t="s">
        <v>333</v>
      </c>
      <c r="C115" s="76" t="s">
        <v>31</v>
      </c>
      <c r="D115" s="33">
        <v>2</v>
      </c>
      <c r="E115" s="33" t="s">
        <v>319</v>
      </c>
      <c r="F115" s="9" t="s">
        <v>29</v>
      </c>
    </row>
    <row r="116" spans="2:6" ht="18" customHeight="1" x14ac:dyDescent="0.25">
      <c r="B116" s="4" t="s">
        <v>334</v>
      </c>
      <c r="C116" s="76" t="s">
        <v>316</v>
      </c>
      <c r="D116" s="33">
        <v>1</v>
      </c>
      <c r="E116" s="33" t="s">
        <v>319</v>
      </c>
      <c r="F116" s="9" t="s">
        <v>29</v>
      </c>
    </row>
    <row r="117" spans="2:6" ht="18" customHeight="1" x14ac:dyDescent="0.25">
      <c r="B117" s="30" t="s">
        <v>335</v>
      </c>
      <c r="C117" s="76" t="s">
        <v>315</v>
      </c>
      <c r="D117" s="33">
        <v>1</v>
      </c>
      <c r="E117" s="33" t="s">
        <v>319</v>
      </c>
      <c r="F117" s="9" t="s">
        <v>29</v>
      </c>
    </row>
    <row r="118" spans="2:6" ht="18" customHeight="1" x14ac:dyDescent="0.25">
      <c r="B118" s="30" t="s">
        <v>342</v>
      </c>
      <c r="C118" s="84" t="s">
        <v>317</v>
      </c>
      <c r="D118" s="85">
        <v>5</v>
      </c>
      <c r="E118" s="85" t="s">
        <v>319</v>
      </c>
      <c r="F118" s="27" t="s">
        <v>29</v>
      </c>
    </row>
    <row r="119" spans="2:6" ht="18" customHeight="1" x14ac:dyDescent="0.25">
      <c r="B119" s="4" t="s">
        <v>343</v>
      </c>
      <c r="C119" s="79" t="s">
        <v>108</v>
      </c>
      <c r="D119" s="80">
        <v>1</v>
      </c>
      <c r="E119" s="81" t="s">
        <v>319</v>
      </c>
      <c r="F119" s="27" t="s">
        <v>428</v>
      </c>
    </row>
    <row r="120" spans="2:6" ht="18" customHeight="1" x14ac:dyDescent="0.25">
      <c r="B120" s="30" t="s">
        <v>344</v>
      </c>
      <c r="C120" s="79" t="s">
        <v>109</v>
      </c>
      <c r="D120" s="80">
        <v>2</v>
      </c>
      <c r="E120" s="81" t="s">
        <v>319</v>
      </c>
      <c r="F120" s="27" t="s">
        <v>428</v>
      </c>
    </row>
    <row r="121" spans="2:6" ht="18" customHeight="1" x14ac:dyDescent="0.25">
      <c r="B121" s="30" t="s">
        <v>348</v>
      </c>
      <c r="C121" s="79" t="s">
        <v>110</v>
      </c>
      <c r="D121" s="80">
        <v>1</v>
      </c>
      <c r="E121" s="81" t="s">
        <v>319</v>
      </c>
      <c r="F121" s="27" t="s">
        <v>428</v>
      </c>
    </row>
    <row r="122" spans="2:6" ht="18" customHeight="1" x14ac:dyDescent="0.25">
      <c r="B122" s="4" t="s">
        <v>349</v>
      </c>
      <c r="C122" s="79" t="s">
        <v>111</v>
      </c>
      <c r="D122" s="80">
        <v>1</v>
      </c>
      <c r="E122" s="81" t="s">
        <v>319</v>
      </c>
      <c r="F122" s="27" t="s">
        <v>428</v>
      </c>
    </row>
    <row r="123" spans="2:6" ht="18" customHeight="1" x14ac:dyDescent="0.25">
      <c r="B123" s="30" t="s">
        <v>353</v>
      </c>
      <c r="C123" s="79" t="s">
        <v>112</v>
      </c>
      <c r="D123" s="80">
        <v>1</v>
      </c>
      <c r="E123" s="81" t="s">
        <v>319</v>
      </c>
      <c r="F123" s="27" t="s">
        <v>428</v>
      </c>
    </row>
    <row r="124" spans="2:6" ht="18" customHeight="1" x14ac:dyDescent="0.25">
      <c r="B124" s="30" t="s">
        <v>354</v>
      </c>
      <c r="C124" s="79" t="s">
        <v>113</v>
      </c>
      <c r="D124" s="80">
        <v>1</v>
      </c>
      <c r="E124" s="81" t="s">
        <v>319</v>
      </c>
      <c r="F124" s="27" t="s">
        <v>428</v>
      </c>
    </row>
    <row r="125" spans="2:6" ht="18" customHeight="1" x14ac:dyDescent="0.25">
      <c r="B125" s="4" t="s">
        <v>357</v>
      </c>
      <c r="C125" s="79" t="s">
        <v>114</v>
      </c>
      <c r="D125" s="80">
        <v>1</v>
      </c>
      <c r="E125" s="81" t="s">
        <v>319</v>
      </c>
      <c r="F125" s="27" t="s">
        <v>428</v>
      </c>
    </row>
    <row r="126" spans="2:6" ht="18" customHeight="1" x14ac:dyDescent="0.25">
      <c r="B126" s="30" t="s">
        <v>364</v>
      </c>
      <c r="C126" s="79" t="s">
        <v>115</v>
      </c>
      <c r="D126" s="80">
        <v>1</v>
      </c>
      <c r="E126" s="81" t="s">
        <v>319</v>
      </c>
      <c r="F126" s="27" t="s">
        <v>428</v>
      </c>
    </row>
    <row r="127" spans="2:6" ht="18" customHeight="1" x14ac:dyDescent="0.25">
      <c r="B127" s="30" t="s">
        <v>365</v>
      </c>
      <c r="C127" s="79" t="s">
        <v>116</v>
      </c>
      <c r="D127" s="80">
        <v>1</v>
      </c>
      <c r="E127" s="81" t="s">
        <v>319</v>
      </c>
      <c r="F127" s="27" t="s">
        <v>428</v>
      </c>
    </row>
    <row r="128" spans="2:6" ht="18" customHeight="1" x14ac:dyDescent="0.25">
      <c r="B128" s="4" t="s">
        <v>366</v>
      </c>
      <c r="C128" s="76" t="s">
        <v>117</v>
      </c>
      <c r="D128" s="33">
        <v>2</v>
      </c>
      <c r="E128" s="33" t="s">
        <v>319</v>
      </c>
      <c r="F128" s="27" t="s">
        <v>428</v>
      </c>
    </row>
    <row r="129" spans="2:6" ht="18" customHeight="1" x14ac:dyDescent="0.25">
      <c r="B129" s="30" t="s">
        <v>388</v>
      </c>
      <c r="C129" s="76" t="s">
        <v>118</v>
      </c>
      <c r="D129" s="33">
        <v>1</v>
      </c>
      <c r="E129" s="33" t="s">
        <v>319</v>
      </c>
      <c r="F129" s="27" t="s">
        <v>428</v>
      </c>
    </row>
    <row r="130" spans="2:6" ht="18" customHeight="1" x14ac:dyDescent="0.25">
      <c r="B130" s="30" t="s">
        <v>458</v>
      </c>
      <c r="C130" s="76" t="s">
        <v>119</v>
      </c>
      <c r="D130" s="33">
        <v>2</v>
      </c>
      <c r="E130" s="33" t="s">
        <v>319</v>
      </c>
      <c r="F130" s="27" t="s">
        <v>428</v>
      </c>
    </row>
    <row r="131" spans="2:6" ht="21.75" customHeight="1" x14ac:dyDescent="0.25">
      <c r="B131" s="10"/>
      <c r="C131" s="10" t="s">
        <v>32</v>
      </c>
      <c r="D131" s="10">
        <f>SUM(D5:D130)</f>
        <v>182</v>
      </c>
      <c r="E131" s="10"/>
      <c r="F131" s="10"/>
    </row>
  </sheetData>
  <mergeCells count="1">
    <mergeCell ref="B2:F2"/>
  </mergeCells>
  <phoneticPr fontId="22" type="noConversion"/>
  <pageMargins left="0.75" right="0.75" top="1" bottom="1" header="0.511811023622047" footer="0.511811023622047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showGridLines="0" tabSelected="1" zoomScaleNormal="100" workbookViewId="0">
      <selection activeCell="A6" sqref="A6"/>
    </sheetView>
  </sheetViews>
  <sheetFormatPr baseColWidth="10" defaultColWidth="8.7109375" defaultRowHeight="15" x14ac:dyDescent="0.25"/>
  <cols>
    <col min="2" max="2" width="35.28515625" style="25" customWidth="1"/>
    <col min="3" max="3" width="4.140625" style="25" customWidth="1"/>
    <col min="4" max="4" width="10.5703125" customWidth="1"/>
    <col min="5" max="6" width="22" customWidth="1"/>
    <col min="7" max="7" width="6.7109375" customWidth="1"/>
    <col min="8" max="8" width="7.42578125" customWidth="1"/>
    <col min="9" max="10" width="22" customWidth="1"/>
    <col min="11" max="11" width="5.28515625" customWidth="1"/>
    <col min="12" max="12" width="7.5703125" customWidth="1"/>
    <col min="13" max="14" width="22" customWidth="1"/>
    <col min="15" max="15" width="5" customWidth="1"/>
    <col min="16" max="16" width="8.28515625" customWidth="1"/>
    <col min="17" max="18" width="22" customWidth="1"/>
    <col min="19" max="19" width="6.7109375" customWidth="1"/>
  </cols>
  <sheetData>
    <row r="1" spans="1:19" ht="36" customHeight="1" x14ac:dyDescent="0.25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3" spans="1:19" ht="19.5" customHeight="1" x14ac:dyDescent="0.25">
      <c r="A3" s="44" t="s">
        <v>103</v>
      </c>
      <c r="B3" s="45"/>
      <c r="C3"/>
      <c r="D3" s="43" t="s">
        <v>104</v>
      </c>
      <c r="E3" s="43"/>
      <c r="F3" s="43"/>
      <c r="H3" s="46" t="s">
        <v>105</v>
      </c>
      <c r="I3" s="46"/>
      <c r="J3" s="47"/>
      <c r="L3" s="50" t="s">
        <v>106</v>
      </c>
      <c r="M3" s="50"/>
      <c r="N3" s="51"/>
      <c r="P3" s="52" t="s">
        <v>107</v>
      </c>
      <c r="Q3" s="52"/>
      <c r="R3" s="53"/>
    </row>
    <row r="4" spans="1:19" ht="15.75" customHeight="1" x14ac:dyDescent="0.25">
      <c r="A4" s="32">
        <v>1</v>
      </c>
      <c r="B4" s="28" t="s">
        <v>124</v>
      </c>
      <c r="C4"/>
      <c r="D4" s="32">
        <v>1</v>
      </c>
      <c r="E4" s="48" t="s">
        <v>132</v>
      </c>
      <c r="F4" s="48"/>
      <c r="H4" s="32">
        <v>1</v>
      </c>
      <c r="I4" s="48" t="s">
        <v>358</v>
      </c>
      <c r="J4" s="48"/>
      <c r="L4" s="32">
        <v>1</v>
      </c>
      <c r="M4" s="48" t="s">
        <v>375</v>
      </c>
      <c r="N4" s="48"/>
      <c r="P4" s="32">
        <v>1</v>
      </c>
      <c r="Q4" s="48" t="s">
        <v>389</v>
      </c>
      <c r="R4" s="48"/>
    </row>
    <row r="5" spans="1:19" ht="15.75" customHeight="1" x14ac:dyDescent="0.25">
      <c r="A5" s="32">
        <v>2</v>
      </c>
      <c r="B5" s="29" t="s">
        <v>125</v>
      </c>
      <c r="C5"/>
      <c r="D5" s="32">
        <v>2</v>
      </c>
      <c r="E5" s="49" t="s">
        <v>133</v>
      </c>
      <c r="F5" s="49"/>
      <c r="H5" s="32">
        <v>2</v>
      </c>
      <c r="I5" s="49" t="s">
        <v>359</v>
      </c>
      <c r="J5" s="49"/>
      <c r="L5" s="32">
        <v>2</v>
      </c>
      <c r="M5" s="49" t="s">
        <v>376</v>
      </c>
      <c r="N5" s="49"/>
      <c r="P5" s="32">
        <v>2</v>
      </c>
      <c r="Q5" s="49" t="s">
        <v>390</v>
      </c>
      <c r="R5" s="49"/>
    </row>
    <row r="6" spans="1:19" ht="15.75" customHeight="1" x14ac:dyDescent="0.25">
      <c r="A6" s="32">
        <v>3</v>
      </c>
      <c r="B6" s="28" t="s">
        <v>126</v>
      </c>
      <c r="C6"/>
      <c r="D6" s="32">
        <v>3</v>
      </c>
      <c r="E6" s="48" t="s">
        <v>134</v>
      </c>
      <c r="F6" s="48"/>
      <c r="H6" s="32">
        <v>3</v>
      </c>
      <c r="I6" s="48" t="s">
        <v>360</v>
      </c>
      <c r="J6" s="48"/>
      <c r="L6" s="32">
        <v>3</v>
      </c>
      <c r="M6" s="48" t="s">
        <v>307</v>
      </c>
      <c r="N6" s="48"/>
      <c r="P6" s="32">
        <v>3</v>
      </c>
      <c r="Q6" s="48" t="s">
        <v>391</v>
      </c>
      <c r="R6" s="48"/>
    </row>
    <row r="7" spans="1:19" ht="15.75" customHeight="1" x14ac:dyDescent="0.25">
      <c r="A7" s="32">
        <v>4</v>
      </c>
      <c r="B7" s="29" t="s">
        <v>127</v>
      </c>
      <c r="C7"/>
      <c r="D7" s="32">
        <v>4</v>
      </c>
      <c r="E7" s="49" t="s">
        <v>135</v>
      </c>
      <c r="F7" s="49"/>
      <c r="H7" s="32">
        <v>4</v>
      </c>
      <c r="I7" s="49" t="s">
        <v>363</v>
      </c>
      <c r="J7" s="49"/>
      <c r="L7" s="32">
        <v>4</v>
      </c>
      <c r="M7" s="49" t="s">
        <v>377</v>
      </c>
      <c r="N7" s="49"/>
      <c r="P7" s="32">
        <v>4</v>
      </c>
      <c r="Q7" s="49" t="s">
        <v>392</v>
      </c>
      <c r="R7" s="49"/>
    </row>
    <row r="8" spans="1:19" ht="15.75" customHeight="1" x14ac:dyDescent="0.25">
      <c r="A8" s="32">
        <v>5</v>
      </c>
      <c r="B8" s="28" t="s">
        <v>128</v>
      </c>
      <c r="C8"/>
      <c r="D8" s="32">
        <v>5</v>
      </c>
      <c r="E8" s="48" t="s">
        <v>136</v>
      </c>
      <c r="F8" s="48"/>
      <c r="H8" s="32">
        <v>5</v>
      </c>
      <c r="I8" s="48" t="s">
        <v>367</v>
      </c>
      <c r="J8" s="48"/>
      <c r="L8" s="32">
        <v>5</v>
      </c>
      <c r="M8" s="48" t="s">
        <v>378</v>
      </c>
      <c r="N8" s="48"/>
      <c r="P8" s="32">
        <v>5</v>
      </c>
      <c r="Q8" s="48" t="s">
        <v>275</v>
      </c>
      <c r="R8" s="48"/>
    </row>
    <row r="9" spans="1:19" ht="15.75" customHeight="1" x14ac:dyDescent="0.25">
      <c r="A9" s="32">
        <v>6</v>
      </c>
      <c r="B9" s="29" t="s">
        <v>129</v>
      </c>
      <c r="C9"/>
      <c r="D9" s="32">
        <v>6</v>
      </c>
      <c r="E9" s="49" t="s">
        <v>137</v>
      </c>
      <c r="F9" s="49"/>
      <c r="H9" s="32">
        <v>6</v>
      </c>
      <c r="I9" s="49" t="s">
        <v>368</v>
      </c>
      <c r="J9" s="49"/>
      <c r="L9" s="32">
        <v>6</v>
      </c>
      <c r="M9" s="49" t="s">
        <v>379</v>
      </c>
      <c r="N9" s="49"/>
      <c r="P9" s="32">
        <v>6</v>
      </c>
      <c r="Q9" s="49" t="s">
        <v>23</v>
      </c>
      <c r="R9" s="49"/>
    </row>
    <row r="10" spans="1:19" ht="15.75" customHeight="1" x14ac:dyDescent="0.25">
      <c r="A10" s="32">
        <v>7</v>
      </c>
      <c r="B10" s="28" t="s">
        <v>130</v>
      </c>
      <c r="C10"/>
      <c r="D10" s="32">
        <v>7</v>
      </c>
      <c r="E10" s="48" t="s">
        <v>138</v>
      </c>
      <c r="F10" s="48"/>
      <c r="H10" s="32">
        <v>7</v>
      </c>
      <c r="I10" s="48" t="s">
        <v>369</v>
      </c>
      <c r="J10" s="48"/>
      <c r="L10" s="32">
        <v>7</v>
      </c>
      <c r="M10" s="48" t="s">
        <v>380</v>
      </c>
      <c r="N10" s="48"/>
      <c r="P10" s="32">
        <v>7</v>
      </c>
      <c r="Q10" s="48" t="s">
        <v>393</v>
      </c>
      <c r="R10" s="48"/>
    </row>
    <row r="11" spans="1:19" ht="15.75" customHeight="1" x14ac:dyDescent="0.25">
      <c r="A11" s="32">
        <v>8</v>
      </c>
      <c r="B11" s="29" t="s">
        <v>131</v>
      </c>
      <c r="C11"/>
      <c r="D11" s="32">
        <v>8</v>
      </c>
      <c r="E11" s="49" t="s">
        <v>139</v>
      </c>
      <c r="F11" s="49"/>
      <c r="H11" s="32">
        <v>8</v>
      </c>
      <c r="I11" s="49" t="s">
        <v>370</v>
      </c>
      <c r="J11" s="49"/>
      <c r="L11" s="32">
        <v>8</v>
      </c>
      <c r="M11" s="49" t="s">
        <v>381</v>
      </c>
      <c r="N11" s="49"/>
      <c r="P11" s="32">
        <v>8</v>
      </c>
      <c r="Q11" s="49" t="s">
        <v>394</v>
      </c>
      <c r="R11" s="49"/>
    </row>
    <row r="12" spans="1:19" ht="15.75" customHeight="1" x14ac:dyDescent="0.25">
      <c r="A12" s="32">
        <v>9</v>
      </c>
      <c r="B12" s="28" t="s">
        <v>351</v>
      </c>
      <c r="C12"/>
      <c r="D12" s="32">
        <v>9</v>
      </c>
      <c r="E12" s="48" t="s">
        <v>140</v>
      </c>
      <c r="F12" s="48"/>
      <c r="H12" s="32">
        <v>9</v>
      </c>
      <c r="I12" s="48" t="s">
        <v>371</v>
      </c>
      <c r="J12" s="48"/>
      <c r="L12" s="32">
        <v>9</v>
      </c>
      <c r="M12" s="48" t="s">
        <v>382</v>
      </c>
      <c r="N12" s="48"/>
      <c r="P12" s="32">
        <v>9</v>
      </c>
      <c r="Q12" s="48" t="s">
        <v>441</v>
      </c>
      <c r="R12" s="48"/>
    </row>
    <row r="13" spans="1:19" ht="15.75" customHeight="1" x14ac:dyDescent="0.25">
      <c r="A13" s="32">
        <v>10</v>
      </c>
      <c r="B13" s="29" t="s">
        <v>352</v>
      </c>
      <c r="C13"/>
      <c r="D13" s="32">
        <v>10</v>
      </c>
      <c r="E13" s="49" t="s">
        <v>141</v>
      </c>
      <c r="F13" s="49"/>
      <c r="H13" s="32">
        <v>10</v>
      </c>
      <c r="I13" s="49" t="s">
        <v>372</v>
      </c>
      <c r="J13" s="49"/>
      <c r="L13" s="32">
        <v>10</v>
      </c>
      <c r="M13" s="49" t="s">
        <v>383</v>
      </c>
      <c r="N13" s="49"/>
      <c r="P13" s="32">
        <v>10</v>
      </c>
      <c r="Q13" s="49" t="s">
        <v>443</v>
      </c>
      <c r="R13" s="49"/>
    </row>
    <row r="14" spans="1:19" ht="15.75" customHeight="1" x14ac:dyDescent="0.25">
      <c r="A14" s="32">
        <v>11</v>
      </c>
      <c r="B14" s="28" t="s">
        <v>246</v>
      </c>
      <c r="C14"/>
      <c r="D14" s="32">
        <v>11</v>
      </c>
      <c r="E14" s="48" t="s">
        <v>142</v>
      </c>
      <c r="F14" s="48"/>
      <c r="H14" s="32">
        <v>11</v>
      </c>
      <c r="I14" s="48" t="s">
        <v>374</v>
      </c>
      <c r="J14" s="48"/>
      <c r="L14" s="32">
        <v>11</v>
      </c>
      <c r="M14" s="48" t="s">
        <v>384</v>
      </c>
      <c r="N14" s="48"/>
      <c r="P14" s="32">
        <v>11</v>
      </c>
      <c r="Q14" s="48" t="s">
        <v>442</v>
      </c>
      <c r="R14" s="48"/>
    </row>
    <row r="15" spans="1:19" ht="15.75" customHeight="1" x14ac:dyDescent="0.25">
      <c r="A15" s="32">
        <v>12</v>
      </c>
      <c r="B15" s="29" t="s">
        <v>288</v>
      </c>
      <c r="C15"/>
      <c r="D15" s="32">
        <v>12</v>
      </c>
      <c r="E15" s="49" t="s">
        <v>143</v>
      </c>
      <c r="F15" s="49"/>
      <c r="H15" s="32">
        <v>12</v>
      </c>
      <c r="I15" s="49" t="s">
        <v>373</v>
      </c>
      <c r="J15" s="49"/>
      <c r="L15" s="32">
        <v>12</v>
      </c>
      <c r="M15" s="49" t="s">
        <v>385</v>
      </c>
      <c r="N15" s="49"/>
      <c r="P15" s="32">
        <v>12</v>
      </c>
      <c r="Q15" s="49" t="s">
        <v>444</v>
      </c>
      <c r="R15" s="49"/>
    </row>
    <row r="16" spans="1:19" ht="15.75" customHeight="1" x14ac:dyDescent="0.25">
      <c r="A16" s="32">
        <v>13</v>
      </c>
      <c r="B16" s="28" t="s">
        <v>16</v>
      </c>
      <c r="C16"/>
      <c r="D16" s="32">
        <v>13</v>
      </c>
      <c r="E16" s="48" t="s">
        <v>144</v>
      </c>
      <c r="F16" s="48"/>
      <c r="I16" s="66">
        <f>COUNTA(I4:J15)</f>
        <v>12</v>
      </c>
      <c r="J16" s="66"/>
      <c r="L16" s="32">
        <v>13</v>
      </c>
      <c r="M16" s="48" t="s">
        <v>386</v>
      </c>
      <c r="N16" s="48"/>
      <c r="P16" s="32">
        <v>13</v>
      </c>
      <c r="Q16" s="48" t="s">
        <v>445</v>
      </c>
      <c r="R16" s="48"/>
    </row>
    <row r="17" spans="1:18" x14ac:dyDescent="0.25">
      <c r="B17" s="25">
        <f>COUNTA(B4:B16)</f>
        <v>13</v>
      </c>
      <c r="C17"/>
      <c r="E17" s="66">
        <f>COUNTA(E4:F16)</f>
        <v>13</v>
      </c>
      <c r="F17" s="66"/>
      <c r="L17" s="68">
        <v>14</v>
      </c>
      <c r="M17" s="67" t="s">
        <v>387</v>
      </c>
      <c r="N17" s="67"/>
      <c r="Q17" s="66">
        <f>COUNTA(Q4:R16)</f>
        <v>13</v>
      </c>
      <c r="R17" s="66"/>
    </row>
    <row r="18" spans="1:18" x14ac:dyDescent="0.25">
      <c r="C18"/>
      <c r="H18" s="56" t="s">
        <v>36</v>
      </c>
      <c r="I18" s="56"/>
      <c r="J18" s="57"/>
      <c r="M18" s="66">
        <f>COUNTA(M4:N17)</f>
        <v>14</v>
      </c>
      <c r="N18" s="66"/>
    </row>
    <row r="19" spans="1:18" ht="19.5" customHeight="1" x14ac:dyDescent="0.25">
      <c r="A19" s="41" t="s">
        <v>34</v>
      </c>
      <c r="B19" s="42"/>
      <c r="C19"/>
      <c r="D19" s="54" t="s">
        <v>35</v>
      </c>
      <c r="E19" s="54"/>
      <c r="F19" s="55"/>
      <c r="H19" s="32">
        <v>1</v>
      </c>
      <c r="I19" s="48" t="s">
        <v>295</v>
      </c>
      <c r="J19" s="48"/>
      <c r="L19" s="58" t="s">
        <v>37</v>
      </c>
      <c r="M19" s="58"/>
      <c r="N19" s="59"/>
      <c r="P19" s="60" t="s">
        <v>38</v>
      </c>
      <c r="Q19" s="60"/>
      <c r="R19" s="61"/>
    </row>
    <row r="20" spans="1:18" ht="15.75" customHeight="1" x14ac:dyDescent="0.25">
      <c r="A20" s="32">
        <v>1</v>
      </c>
      <c r="B20" s="28" t="s">
        <v>302</v>
      </c>
      <c r="C20"/>
      <c r="D20" s="32">
        <v>1</v>
      </c>
      <c r="E20" s="48" t="s">
        <v>267</v>
      </c>
      <c r="F20" s="48"/>
      <c r="H20" s="32">
        <v>2</v>
      </c>
      <c r="I20" s="49" t="s">
        <v>296</v>
      </c>
      <c r="J20" s="49"/>
      <c r="L20" s="32">
        <v>1</v>
      </c>
      <c r="M20" s="48" t="s">
        <v>411</v>
      </c>
      <c r="N20" s="48"/>
      <c r="P20" s="32">
        <v>1</v>
      </c>
      <c r="Q20" s="48" t="s">
        <v>253</v>
      </c>
      <c r="R20" s="48"/>
    </row>
    <row r="21" spans="1:18" ht="15.75" customHeight="1" x14ac:dyDescent="0.25">
      <c r="A21" s="32">
        <v>2</v>
      </c>
      <c r="B21" s="29" t="s">
        <v>28</v>
      </c>
      <c r="C21"/>
      <c r="D21" s="32">
        <v>2</v>
      </c>
      <c r="E21" s="49" t="s">
        <v>272</v>
      </c>
      <c r="F21" s="49"/>
      <c r="H21" s="32">
        <v>3</v>
      </c>
      <c r="I21" s="48" t="s">
        <v>297</v>
      </c>
      <c r="J21" s="48"/>
      <c r="L21" s="32">
        <v>2</v>
      </c>
      <c r="M21" s="49" t="s">
        <v>412</v>
      </c>
      <c r="N21" s="49"/>
      <c r="P21" s="32">
        <v>2</v>
      </c>
      <c r="Q21" s="49" t="s">
        <v>417</v>
      </c>
      <c r="R21" s="49"/>
    </row>
    <row r="22" spans="1:18" ht="15.75" customHeight="1" x14ac:dyDescent="0.25">
      <c r="A22" s="32">
        <v>3</v>
      </c>
      <c r="B22" s="28" t="s">
        <v>121</v>
      </c>
      <c r="C22"/>
      <c r="D22" s="32">
        <v>3</v>
      </c>
      <c r="E22" s="48" t="s">
        <v>396</v>
      </c>
      <c r="F22" s="48"/>
      <c r="H22" s="32">
        <v>4</v>
      </c>
      <c r="I22" s="49" t="s">
        <v>403</v>
      </c>
      <c r="J22" s="49"/>
      <c r="L22" s="32">
        <v>3</v>
      </c>
      <c r="M22" s="48" t="s">
        <v>413</v>
      </c>
      <c r="N22" s="48"/>
      <c r="P22" s="32">
        <v>3</v>
      </c>
      <c r="Q22" s="48" t="s">
        <v>418</v>
      </c>
      <c r="R22" s="48"/>
    </row>
    <row r="23" spans="1:18" ht="15.75" customHeight="1" x14ac:dyDescent="0.25">
      <c r="A23" s="32">
        <v>4</v>
      </c>
      <c r="B23" s="29" t="s">
        <v>122</v>
      </c>
      <c r="C23"/>
      <c r="D23" s="32">
        <v>4</v>
      </c>
      <c r="E23" s="49" t="s">
        <v>397</v>
      </c>
      <c r="F23" s="49"/>
      <c r="H23" s="32">
        <v>5</v>
      </c>
      <c r="I23" s="48" t="s">
        <v>404</v>
      </c>
      <c r="J23" s="48"/>
      <c r="L23" s="32">
        <v>4</v>
      </c>
      <c r="M23" s="49" t="s">
        <v>301</v>
      </c>
      <c r="N23" s="49"/>
      <c r="P23" s="32">
        <v>4</v>
      </c>
      <c r="Q23" s="49" t="s">
        <v>256</v>
      </c>
      <c r="R23" s="49"/>
    </row>
    <row r="24" spans="1:18" ht="15.75" customHeight="1" x14ac:dyDescent="0.25">
      <c r="A24" s="32">
        <v>5</v>
      </c>
      <c r="B24" s="28" t="s">
        <v>14</v>
      </c>
      <c r="C24"/>
      <c r="D24" s="32">
        <v>5</v>
      </c>
      <c r="E24" s="48" t="s">
        <v>398</v>
      </c>
      <c r="F24" s="48"/>
      <c r="H24" s="32">
        <v>6</v>
      </c>
      <c r="I24" s="49" t="s">
        <v>405</v>
      </c>
      <c r="J24" s="49"/>
      <c r="L24" s="32">
        <v>5</v>
      </c>
      <c r="M24" s="48" t="s">
        <v>414</v>
      </c>
      <c r="N24" s="48"/>
      <c r="P24" s="32">
        <v>5</v>
      </c>
      <c r="Q24" s="48" t="s">
        <v>419</v>
      </c>
      <c r="R24" s="48"/>
    </row>
    <row r="25" spans="1:18" ht="15.75" customHeight="1" x14ac:dyDescent="0.25">
      <c r="A25" s="32">
        <v>6</v>
      </c>
      <c r="B25" s="29" t="s">
        <v>395</v>
      </c>
      <c r="C25"/>
      <c r="D25" s="32">
        <v>6</v>
      </c>
      <c r="E25" s="49" t="s">
        <v>399</v>
      </c>
      <c r="F25" s="49"/>
      <c r="H25" s="32">
        <v>7</v>
      </c>
      <c r="I25" s="48" t="s">
        <v>406</v>
      </c>
      <c r="J25" s="48"/>
      <c r="L25" s="32">
        <v>6</v>
      </c>
      <c r="M25" s="49" t="s">
        <v>415</v>
      </c>
      <c r="N25" s="49"/>
      <c r="P25" s="32">
        <v>6</v>
      </c>
      <c r="Q25" s="49" t="s">
        <v>420</v>
      </c>
      <c r="R25" s="49"/>
    </row>
    <row r="26" spans="1:18" ht="15.75" customHeight="1" x14ac:dyDescent="0.25">
      <c r="A26" s="32">
        <v>7</v>
      </c>
      <c r="B26" s="28" t="s">
        <v>338</v>
      </c>
      <c r="C26"/>
      <c r="D26" s="32">
        <v>7</v>
      </c>
      <c r="E26" s="48" t="s">
        <v>400</v>
      </c>
      <c r="F26" s="48"/>
      <c r="H26" s="32">
        <v>8</v>
      </c>
      <c r="I26" s="49" t="s">
        <v>407</v>
      </c>
      <c r="J26" s="49"/>
      <c r="L26" s="32">
        <v>7</v>
      </c>
      <c r="M26" s="48" t="s">
        <v>416</v>
      </c>
      <c r="N26" s="48"/>
      <c r="P26" s="32">
        <v>7</v>
      </c>
      <c r="Q26" s="48" t="s">
        <v>258</v>
      </c>
      <c r="R26" s="48"/>
    </row>
    <row r="27" spans="1:18" ht="15.75" customHeight="1" x14ac:dyDescent="0.25">
      <c r="A27" s="32">
        <v>8</v>
      </c>
      <c r="B27" s="29" t="s">
        <v>338</v>
      </c>
      <c r="C27"/>
      <c r="D27" s="32">
        <v>8</v>
      </c>
      <c r="E27" s="49" t="s">
        <v>401</v>
      </c>
      <c r="F27" s="49"/>
      <c r="H27" s="32">
        <v>9</v>
      </c>
      <c r="I27" s="48" t="s">
        <v>408</v>
      </c>
      <c r="J27" s="48"/>
      <c r="L27" s="32">
        <v>8</v>
      </c>
      <c r="M27" s="48" t="s">
        <v>123</v>
      </c>
      <c r="N27" s="48"/>
      <c r="P27" s="32">
        <v>8</v>
      </c>
      <c r="Q27" s="49" t="s">
        <v>18</v>
      </c>
      <c r="R27" s="49"/>
    </row>
    <row r="28" spans="1:18" ht="15.75" customHeight="1" x14ac:dyDescent="0.25">
      <c r="A28" s="32">
        <v>9</v>
      </c>
      <c r="B28" s="28" t="s">
        <v>446</v>
      </c>
      <c r="C28"/>
      <c r="D28" s="32">
        <v>9</v>
      </c>
      <c r="E28" s="48" t="s">
        <v>402</v>
      </c>
      <c r="F28" s="48"/>
      <c r="H28" s="32">
        <v>10</v>
      </c>
      <c r="I28" s="49" t="s">
        <v>293</v>
      </c>
      <c r="J28" s="49"/>
      <c r="L28" s="32">
        <v>9</v>
      </c>
      <c r="M28" s="74" t="s">
        <v>439</v>
      </c>
      <c r="N28" s="75"/>
      <c r="P28" s="32">
        <v>9</v>
      </c>
      <c r="Q28" s="48" t="s">
        <v>421</v>
      </c>
      <c r="R28" s="48"/>
    </row>
    <row r="29" spans="1:18" ht="15.75" customHeight="1" x14ac:dyDescent="0.25">
      <c r="A29" s="32">
        <v>10</v>
      </c>
      <c r="B29" s="29" t="s">
        <v>447</v>
      </c>
      <c r="C29"/>
      <c r="D29" s="32">
        <v>10</v>
      </c>
      <c r="E29" s="49" t="s">
        <v>424</v>
      </c>
      <c r="F29" s="49"/>
      <c r="H29" s="32">
        <v>11</v>
      </c>
      <c r="I29" s="48" t="s">
        <v>409</v>
      </c>
      <c r="J29" s="48"/>
      <c r="L29" s="32">
        <v>10</v>
      </c>
      <c r="M29" s="77" t="s">
        <v>440</v>
      </c>
      <c r="N29" s="78"/>
      <c r="P29" s="32">
        <v>10</v>
      </c>
      <c r="Q29" s="49" t="s">
        <v>265</v>
      </c>
      <c r="R29" s="49"/>
    </row>
    <row r="30" spans="1:18" ht="15.75" customHeight="1" x14ac:dyDescent="0.25">
      <c r="A30" s="32">
        <v>11</v>
      </c>
      <c r="B30" s="28" t="s">
        <v>448</v>
      </c>
      <c r="C30"/>
      <c r="D30" s="32">
        <v>11</v>
      </c>
      <c r="E30" s="48" t="s">
        <v>315</v>
      </c>
      <c r="F30" s="48"/>
      <c r="H30" s="32">
        <v>12</v>
      </c>
      <c r="I30" s="49" t="s">
        <v>410</v>
      </c>
      <c r="J30" s="49"/>
      <c r="L30" s="32">
        <v>11</v>
      </c>
      <c r="M30" s="74" t="s">
        <v>279</v>
      </c>
      <c r="N30" s="75"/>
      <c r="P30" s="32">
        <v>11</v>
      </c>
      <c r="Q30" s="48" t="s">
        <v>422</v>
      </c>
      <c r="R30" s="48"/>
    </row>
    <row r="31" spans="1:18" ht="15.75" customHeight="1" x14ac:dyDescent="0.25">
      <c r="A31" s="32">
        <v>12</v>
      </c>
      <c r="B31" s="29" t="s">
        <v>449</v>
      </c>
      <c r="C31"/>
      <c r="D31" s="32">
        <v>12</v>
      </c>
      <c r="E31" s="49" t="s">
        <v>21</v>
      </c>
      <c r="F31" s="49"/>
      <c r="I31" s="66">
        <f>COUNTA(I19:J30)</f>
        <v>12</v>
      </c>
      <c r="J31" s="66"/>
      <c r="L31" s="32">
        <v>12</v>
      </c>
      <c r="M31" s="48" t="s">
        <v>468</v>
      </c>
      <c r="N31" s="48"/>
      <c r="P31" s="32">
        <v>12</v>
      </c>
      <c r="Q31" s="49" t="s">
        <v>423</v>
      </c>
      <c r="R31" s="49"/>
    </row>
    <row r="32" spans="1:18" ht="15.75" customHeight="1" x14ac:dyDescent="0.25">
      <c r="B32" s="25">
        <f>COUNTA(B20:B31)</f>
        <v>12</v>
      </c>
      <c r="C32"/>
      <c r="E32" s="66">
        <f>COUNTA(E20:F31)</f>
        <v>12</v>
      </c>
      <c r="F32" s="66"/>
      <c r="L32" s="65">
        <v>13</v>
      </c>
      <c r="M32" s="49" t="s">
        <v>469</v>
      </c>
      <c r="N32" s="49"/>
      <c r="P32" s="32">
        <v>13</v>
      </c>
      <c r="Q32" s="49" t="s">
        <v>291</v>
      </c>
      <c r="R32" s="49"/>
    </row>
    <row r="33" spans="1:18" x14ac:dyDescent="0.25">
      <c r="C33"/>
      <c r="H33" s="39" t="s">
        <v>102</v>
      </c>
      <c r="I33" s="39"/>
      <c r="J33" s="40"/>
      <c r="M33" s="73">
        <f>COUNTA(M20:N32)</f>
        <v>13</v>
      </c>
      <c r="N33" s="73"/>
      <c r="Q33" s="73">
        <f>COUNTA(Q20:R32)</f>
        <v>13</v>
      </c>
      <c r="R33" s="73"/>
    </row>
    <row r="34" spans="1:18" x14ac:dyDescent="0.25">
      <c r="A34" s="35" t="s">
        <v>100</v>
      </c>
      <c r="B34" s="36"/>
      <c r="C34"/>
      <c r="D34" s="37" t="s">
        <v>101</v>
      </c>
      <c r="E34" s="37"/>
      <c r="F34" s="38"/>
      <c r="H34" s="32">
        <v>1</v>
      </c>
      <c r="I34" s="69" t="s">
        <v>108</v>
      </c>
      <c r="J34" s="70"/>
      <c r="L34" s="62" t="s">
        <v>470</v>
      </c>
      <c r="M34" s="62"/>
      <c r="N34" s="62"/>
    </row>
    <row r="35" spans="1:18" ht="19.5" customHeight="1" x14ac:dyDescent="0.25">
      <c r="A35" s="32">
        <v>1</v>
      </c>
      <c r="B35" s="28" t="s">
        <v>425</v>
      </c>
      <c r="C35"/>
      <c r="D35" s="32">
        <v>1</v>
      </c>
      <c r="E35" s="48" t="s">
        <v>450</v>
      </c>
      <c r="F35" s="48"/>
      <c r="H35" s="32">
        <v>2</v>
      </c>
      <c r="I35" s="71" t="s">
        <v>434</v>
      </c>
      <c r="J35" s="72"/>
      <c r="L35" s="32">
        <v>1</v>
      </c>
      <c r="M35" s="69" t="s">
        <v>270</v>
      </c>
      <c r="N35" s="70"/>
    </row>
    <row r="36" spans="1:18" ht="15.75" customHeight="1" x14ac:dyDescent="0.25">
      <c r="A36" s="32">
        <v>2</v>
      </c>
      <c r="B36" s="29" t="s">
        <v>426</v>
      </c>
      <c r="C36"/>
      <c r="D36" s="32">
        <v>2</v>
      </c>
      <c r="E36" s="49" t="s">
        <v>451</v>
      </c>
      <c r="F36" s="49"/>
      <c r="H36" s="32">
        <v>3</v>
      </c>
      <c r="I36" s="69" t="s">
        <v>110</v>
      </c>
      <c r="J36" s="70"/>
      <c r="L36" s="32">
        <v>2</v>
      </c>
      <c r="M36" s="71" t="s">
        <v>362</v>
      </c>
      <c r="N36" s="72"/>
    </row>
    <row r="37" spans="1:18" ht="15.75" customHeight="1" x14ac:dyDescent="0.25">
      <c r="A37" s="32">
        <v>3</v>
      </c>
      <c r="B37" s="28" t="s">
        <v>286</v>
      </c>
      <c r="C37"/>
      <c r="D37" s="32">
        <v>3</v>
      </c>
      <c r="E37" s="48" t="s">
        <v>452</v>
      </c>
      <c r="F37" s="48"/>
      <c r="H37" s="32">
        <v>4</v>
      </c>
      <c r="I37" s="71" t="s">
        <v>111</v>
      </c>
      <c r="J37" s="72"/>
      <c r="L37" s="32">
        <v>3</v>
      </c>
      <c r="M37" s="69" t="s">
        <v>361</v>
      </c>
      <c r="N37" s="70"/>
    </row>
    <row r="38" spans="1:18" ht="15.75" customHeight="1" x14ac:dyDescent="0.25">
      <c r="A38" s="32">
        <v>4</v>
      </c>
      <c r="B38" s="29" t="s">
        <v>289</v>
      </c>
      <c r="C38"/>
      <c r="D38" s="32">
        <v>4</v>
      </c>
      <c r="E38" s="49" t="s">
        <v>453</v>
      </c>
      <c r="F38" s="49"/>
      <c r="H38" s="32">
        <v>5</v>
      </c>
      <c r="I38" s="69" t="s">
        <v>112</v>
      </c>
      <c r="J38" s="70"/>
      <c r="L38" s="32">
        <v>4</v>
      </c>
      <c r="M38" s="69" t="s">
        <v>471</v>
      </c>
      <c r="N38" s="70"/>
    </row>
    <row r="39" spans="1:18" ht="15.75" customHeight="1" x14ac:dyDescent="0.25">
      <c r="A39" s="32">
        <v>5</v>
      </c>
      <c r="B39" s="28" t="s">
        <v>14</v>
      </c>
      <c r="C39"/>
      <c r="D39" s="32">
        <v>5</v>
      </c>
      <c r="E39" s="48" t="s">
        <v>454</v>
      </c>
      <c r="F39" s="48"/>
      <c r="H39" s="32">
        <v>6</v>
      </c>
      <c r="I39" s="71" t="s">
        <v>113</v>
      </c>
      <c r="J39" s="72"/>
      <c r="L39" s="32">
        <v>5</v>
      </c>
      <c r="M39" s="71" t="s">
        <v>472</v>
      </c>
      <c r="N39" s="72"/>
    </row>
    <row r="40" spans="1:18" ht="15.75" customHeight="1" x14ac:dyDescent="0.25">
      <c r="A40" s="32">
        <v>6</v>
      </c>
      <c r="B40" s="29" t="s">
        <v>13</v>
      </c>
      <c r="C40"/>
      <c r="D40" s="32">
        <v>6</v>
      </c>
      <c r="E40" s="49" t="s">
        <v>455</v>
      </c>
      <c r="F40" s="49"/>
      <c r="H40" s="32">
        <v>7</v>
      </c>
      <c r="I40" s="69" t="s">
        <v>114</v>
      </c>
      <c r="J40" s="70"/>
      <c r="L40" s="32">
        <v>6</v>
      </c>
      <c r="M40" s="69" t="s">
        <v>473</v>
      </c>
      <c r="N40" s="70"/>
    </row>
    <row r="41" spans="1:18" ht="15.75" customHeight="1" x14ac:dyDescent="0.25">
      <c r="A41" s="32">
        <v>7</v>
      </c>
      <c r="B41" s="28" t="s">
        <v>427</v>
      </c>
      <c r="C41"/>
      <c r="D41" s="32">
        <v>7</v>
      </c>
      <c r="E41" s="48" t="s">
        <v>459</v>
      </c>
      <c r="F41" s="48"/>
      <c r="H41" s="32">
        <v>8</v>
      </c>
      <c r="I41" s="71" t="s">
        <v>115</v>
      </c>
      <c r="J41" s="72"/>
      <c r="L41" s="32">
        <v>7</v>
      </c>
      <c r="M41" s="69" t="s">
        <v>474</v>
      </c>
      <c r="N41" s="70"/>
    </row>
    <row r="42" spans="1:18" ht="15.75" customHeight="1" x14ac:dyDescent="0.25">
      <c r="A42" s="32">
        <v>8</v>
      </c>
      <c r="B42" s="29" t="s">
        <v>435</v>
      </c>
      <c r="C42"/>
      <c r="D42" s="32">
        <v>8</v>
      </c>
      <c r="E42" s="49" t="s">
        <v>460</v>
      </c>
      <c r="F42" s="49"/>
      <c r="H42" s="32">
        <v>9</v>
      </c>
      <c r="I42" s="69" t="s">
        <v>116</v>
      </c>
      <c r="J42" s="70"/>
      <c r="L42" s="32">
        <v>8</v>
      </c>
      <c r="M42" s="71" t="s">
        <v>120</v>
      </c>
      <c r="N42" s="72"/>
    </row>
    <row r="43" spans="1:18" ht="15.75" customHeight="1" x14ac:dyDescent="0.25">
      <c r="A43" s="32">
        <v>9</v>
      </c>
      <c r="B43" s="28" t="s">
        <v>436</v>
      </c>
      <c r="C43"/>
      <c r="D43" s="32">
        <v>9</v>
      </c>
      <c r="E43" s="48" t="s">
        <v>461</v>
      </c>
      <c r="F43" s="48"/>
      <c r="H43" s="32">
        <v>10</v>
      </c>
      <c r="I43" s="71" t="s">
        <v>432</v>
      </c>
      <c r="J43" s="72"/>
      <c r="L43" s="32">
        <v>9</v>
      </c>
      <c r="M43" s="69" t="s">
        <v>466</v>
      </c>
      <c r="N43" s="70"/>
    </row>
    <row r="44" spans="1:18" ht="15.75" customHeight="1" x14ac:dyDescent="0.25">
      <c r="A44" s="32">
        <v>10</v>
      </c>
      <c r="B44" s="29" t="s">
        <v>437</v>
      </c>
      <c r="C44"/>
      <c r="D44" s="32">
        <v>10</v>
      </c>
      <c r="E44" s="49" t="s">
        <v>462</v>
      </c>
      <c r="F44" s="49"/>
      <c r="H44" s="32">
        <v>11</v>
      </c>
      <c r="I44" s="69" t="s">
        <v>118</v>
      </c>
      <c r="J44" s="70"/>
      <c r="L44" s="32">
        <v>10</v>
      </c>
      <c r="M44" s="69" t="s">
        <v>467</v>
      </c>
      <c r="N44" s="70"/>
    </row>
    <row r="45" spans="1:18" ht="15.75" customHeight="1" x14ac:dyDescent="0.25">
      <c r="A45" s="32">
        <v>11</v>
      </c>
      <c r="B45" s="28" t="s">
        <v>438</v>
      </c>
      <c r="C45"/>
      <c r="D45" s="32">
        <v>11</v>
      </c>
      <c r="E45" s="48" t="s">
        <v>463</v>
      </c>
      <c r="F45" s="48"/>
      <c r="H45" s="32">
        <v>12</v>
      </c>
      <c r="I45" s="71" t="s">
        <v>430</v>
      </c>
      <c r="J45" s="72"/>
      <c r="L45" s="32">
        <v>11</v>
      </c>
      <c r="M45" s="71" t="s">
        <v>475</v>
      </c>
      <c r="N45" s="72"/>
    </row>
    <row r="46" spans="1:18" ht="15.75" customHeight="1" x14ac:dyDescent="0.25">
      <c r="A46" s="32">
        <v>12</v>
      </c>
      <c r="B46" s="29" t="s">
        <v>22</v>
      </c>
      <c r="C46"/>
      <c r="D46" s="32">
        <v>12</v>
      </c>
      <c r="E46" s="49" t="s">
        <v>464</v>
      </c>
      <c r="F46" s="49"/>
      <c r="H46" s="32">
        <v>13</v>
      </c>
      <c r="I46" s="69" t="s">
        <v>429</v>
      </c>
      <c r="J46" s="70"/>
      <c r="L46" s="32">
        <v>12</v>
      </c>
      <c r="M46" s="69" t="s">
        <v>476</v>
      </c>
      <c r="N46" s="70"/>
    </row>
    <row r="47" spans="1:18" ht="15.75" customHeight="1" x14ac:dyDescent="0.25">
      <c r="B47" s="25">
        <f>COUNTA(B35:B46)</f>
        <v>12</v>
      </c>
      <c r="C47"/>
      <c r="D47" s="68">
        <v>13</v>
      </c>
      <c r="E47" s="49" t="s">
        <v>465</v>
      </c>
      <c r="F47" s="49"/>
      <c r="H47" s="32">
        <v>14</v>
      </c>
      <c r="I47" s="71" t="s">
        <v>431</v>
      </c>
      <c r="J47" s="72"/>
      <c r="M47" s="66">
        <f>COUNTA(M35:N46)</f>
        <v>12</v>
      </c>
      <c r="N47" s="66"/>
    </row>
    <row r="48" spans="1:18" x14ac:dyDescent="0.25">
      <c r="E48" s="73">
        <f>COUNTA(E35:F47)</f>
        <v>13</v>
      </c>
      <c r="F48" s="73"/>
      <c r="H48" s="32">
        <v>15</v>
      </c>
      <c r="I48" s="69" t="s">
        <v>433</v>
      </c>
      <c r="J48" s="70"/>
    </row>
    <row r="49" spans="1:10" x14ac:dyDescent="0.25">
      <c r="I49" s="66">
        <f>COUNTA(I34:J48)</f>
        <v>15</v>
      </c>
      <c r="J49" s="66"/>
    </row>
    <row r="54" spans="1:10" x14ac:dyDescent="0.25">
      <c r="A54" t="s">
        <v>477</v>
      </c>
      <c r="B54" s="25">
        <f>SUM(B47,E48,I49,M47,E32,I31,M33,Q33,E17,I16,M18,Q17)</f>
        <v>154</v>
      </c>
    </row>
  </sheetData>
  <mergeCells count="168">
    <mergeCell ref="I49:J49"/>
    <mergeCell ref="A1:S1"/>
    <mergeCell ref="E17:F17"/>
    <mergeCell ref="I16:J16"/>
    <mergeCell ref="M18:N18"/>
    <mergeCell ref="Q17:R17"/>
    <mergeCell ref="Q32:R32"/>
    <mergeCell ref="M32:N32"/>
    <mergeCell ref="E47:F47"/>
    <mergeCell ref="L34:N34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17:N17"/>
    <mergeCell ref="I46:J46"/>
    <mergeCell ref="I47:J47"/>
    <mergeCell ref="I48:J48"/>
    <mergeCell ref="E32:F32"/>
    <mergeCell ref="I31:J31"/>
    <mergeCell ref="M33:N33"/>
    <mergeCell ref="Q33:R33"/>
    <mergeCell ref="E48:F48"/>
    <mergeCell ref="E44:F44"/>
    <mergeCell ref="E45:F45"/>
    <mergeCell ref="E46:F46"/>
    <mergeCell ref="I38:J38"/>
    <mergeCell ref="E40:F40"/>
    <mergeCell ref="I39:J39"/>
    <mergeCell ref="E41:F41"/>
    <mergeCell ref="I40:J40"/>
    <mergeCell ref="E42:F42"/>
    <mergeCell ref="I41:J41"/>
    <mergeCell ref="E43:F43"/>
    <mergeCell ref="I42:J42"/>
    <mergeCell ref="E35:F35"/>
    <mergeCell ref="I34:J34"/>
    <mergeCell ref="M35:N35"/>
    <mergeCell ref="E36:F36"/>
    <mergeCell ref="I35:J35"/>
    <mergeCell ref="E37:F37"/>
    <mergeCell ref="I36:J36"/>
    <mergeCell ref="E38:F38"/>
    <mergeCell ref="I37:J37"/>
    <mergeCell ref="M29:N29"/>
    <mergeCell ref="Q29:R29"/>
    <mergeCell ref="E30:F30"/>
    <mergeCell ref="I29:J29"/>
    <mergeCell ref="M30:N30"/>
    <mergeCell ref="Q30:R30"/>
    <mergeCell ref="E31:F31"/>
    <mergeCell ref="I30:J30"/>
    <mergeCell ref="M31:N31"/>
    <mergeCell ref="Q31:R31"/>
    <mergeCell ref="M26:N26"/>
    <mergeCell ref="Q26:R26"/>
    <mergeCell ref="E27:F27"/>
    <mergeCell ref="I26:J26"/>
    <mergeCell ref="M27:N27"/>
    <mergeCell ref="Q27:R27"/>
    <mergeCell ref="E28:F28"/>
    <mergeCell ref="I27:J27"/>
    <mergeCell ref="M28:N28"/>
    <mergeCell ref="Q28:R28"/>
    <mergeCell ref="M23:N23"/>
    <mergeCell ref="Q23:R23"/>
    <mergeCell ref="E24:F24"/>
    <mergeCell ref="I23:J23"/>
    <mergeCell ref="M24:N24"/>
    <mergeCell ref="Q24:R24"/>
    <mergeCell ref="E25:F25"/>
    <mergeCell ref="I24:J24"/>
    <mergeCell ref="M25:N25"/>
    <mergeCell ref="Q25:R25"/>
    <mergeCell ref="M20:N20"/>
    <mergeCell ref="Q20:R20"/>
    <mergeCell ref="E21:F21"/>
    <mergeCell ref="I20:J20"/>
    <mergeCell ref="M21:N21"/>
    <mergeCell ref="Q21:R21"/>
    <mergeCell ref="E22:F22"/>
    <mergeCell ref="I21:J21"/>
    <mergeCell ref="M22:N22"/>
    <mergeCell ref="Q22:R22"/>
    <mergeCell ref="M14:N14"/>
    <mergeCell ref="Q14:R14"/>
    <mergeCell ref="E15:F15"/>
    <mergeCell ref="I15:J15"/>
    <mergeCell ref="M15:N15"/>
    <mergeCell ref="Q15:R15"/>
    <mergeCell ref="E16:F16"/>
    <mergeCell ref="M16:N16"/>
    <mergeCell ref="Q16:R16"/>
    <mergeCell ref="M11:N11"/>
    <mergeCell ref="Q11:R11"/>
    <mergeCell ref="E12:F12"/>
    <mergeCell ref="I12:J12"/>
    <mergeCell ref="M12:N12"/>
    <mergeCell ref="Q12:R12"/>
    <mergeCell ref="E13:F13"/>
    <mergeCell ref="I13:J13"/>
    <mergeCell ref="M13:N13"/>
    <mergeCell ref="Q13:R13"/>
    <mergeCell ref="M8:N8"/>
    <mergeCell ref="Q8:R8"/>
    <mergeCell ref="E9:F9"/>
    <mergeCell ref="I9:J9"/>
    <mergeCell ref="M9:N9"/>
    <mergeCell ref="Q9:R9"/>
    <mergeCell ref="E10:F10"/>
    <mergeCell ref="I10:J10"/>
    <mergeCell ref="M10:N10"/>
    <mergeCell ref="Q10:R10"/>
    <mergeCell ref="L3:N3"/>
    <mergeCell ref="P3:R3"/>
    <mergeCell ref="D19:F19"/>
    <mergeCell ref="H18:J18"/>
    <mergeCell ref="L19:N19"/>
    <mergeCell ref="P19:R19"/>
    <mergeCell ref="E4:F4"/>
    <mergeCell ref="I4:J4"/>
    <mergeCell ref="M4:N4"/>
    <mergeCell ref="Q4:R4"/>
    <mergeCell ref="E5:F5"/>
    <mergeCell ref="I5:J5"/>
    <mergeCell ref="M5:N5"/>
    <mergeCell ref="Q5:R5"/>
    <mergeCell ref="E6:F6"/>
    <mergeCell ref="I6:J6"/>
    <mergeCell ref="M6:N6"/>
    <mergeCell ref="Q6:R6"/>
    <mergeCell ref="E7:F7"/>
    <mergeCell ref="I7:J7"/>
    <mergeCell ref="M7:N7"/>
    <mergeCell ref="Q7:R7"/>
    <mergeCell ref="E8:F8"/>
    <mergeCell ref="A34:B34"/>
    <mergeCell ref="D34:F34"/>
    <mergeCell ref="H33:J33"/>
    <mergeCell ref="I43:J43"/>
    <mergeCell ref="I44:J44"/>
    <mergeCell ref="I45:J45"/>
    <mergeCell ref="A19:B19"/>
    <mergeCell ref="D3:F3"/>
    <mergeCell ref="A3:B3"/>
    <mergeCell ref="H3:J3"/>
    <mergeCell ref="I8:J8"/>
    <mergeCell ref="E11:F11"/>
    <mergeCell ref="I11:J11"/>
    <mergeCell ref="E14:F14"/>
    <mergeCell ref="I14:J14"/>
    <mergeCell ref="E20:F20"/>
    <mergeCell ref="I19:J19"/>
    <mergeCell ref="E23:F23"/>
    <mergeCell ref="I22:J22"/>
    <mergeCell ref="E26:F26"/>
    <mergeCell ref="I25:J25"/>
    <mergeCell ref="E29:F29"/>
    <mergeCell ref="I28:J28"/>
    <mergeCell ref="E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ColWidth="8.7109375" defaultRowHeight="15" x14ac:dyDescent="0.25"/>
  <cols>
    <col min="1" max="1" width="3" customWidth="1"/>
    <col min="2" max="2" width="30" customWidth="1"/>
    <col min="3" max="5" width="15" customWidth="1"/>
    <col min="6" max="6" width="20" customWidth="1"/>
    <col min="7" max="7" width="3" customWidth="1"/>
  </cols>
  <sheetData>
    <row r="1" spans="2:6" ht="7.5" customHeight="1" x14ac:dyDescent="0.25"/>
    <row r="2" spans="2:6" ht="36" customHeight="1" x14ac:dyDescent="0.25">
      <c r="B2" s="63" t="s">
        <v>39</v>
      </c>
      <c r="C2" s="63"/>
      <c r="D2" s="63"/>
      <c r="E2" s="63"/>
      <c r="F2" s="63"/>
    </row>
    <row r="4" spans="2:6" ht="21.75" customHeight="1" x14ac:dyDescent="0.25">
      <c r="B4" s="2" t="s">
        <v>40</v>
      </c>
      <c r="C4" s="2" t="s">
        <v>6</v>
      </c>
      <c r="D4" s="2" t="s">
        <v>41</v>
      </c>
      <c r="E4" s="2" t="s">
        <v>42</v>
      </c>
      <c r="F4" s="2" t="s">
        <v>43</v>
      </c>
    </row>
    <row r="5" spans="2:6" ht="19.5" customHeight="1" x14ac:dyDescent="0.25">
      <c r="B5" s="1" t="s">
        <v>1</v>
      </c>
      <c r="C5" s="11">
        <v>6000000</v>
      </c>
      <c r="D5" s="12">
        <v>1500000</v>
      </c>
      <c r="E5" s="13">
        <f>C5-D5</f>
        <v>4500000</v>
      </c>
      <c r="F5" s="14" t="s">
        <v>44</v>
      </c>
    </row>
    <row r="6" spans="2:6" ht="19.5" customHeight="1" x14ac:dyDescent="0.25">
      <c r="B6" s="5" t="s">
        <v>2</v>
      </c>
      <c r="C6" s="15">
        <v>2800000</v>
      </c>
      <c r="D6" s="16">
        <v>800000</v>
      </c>
      <c r="E6" s="13">
        <f>C6-D6</f>
        <v>2000000</v>
      </c>
      <c r="F6" s="17" t="s">
        <v>45</v>
      </c>
    </row>
    <row r="7" spans="2:6" ht="19.5" customHeight="1" x14ac:dyDescent="0.25">
      <c r="B7" s="1" t="s">
        <v>3</v>
      </c>
      <c r="C7" s="11">
        <v>4750000</v>
      </c>
      <c r="D7" s="18">
        <v>600000</v>
      </c>
      <c r="E7" s="13">
        <f t="shared" ref="E7:E32" si="0">C7-D7</f>
        <v>4150000</v>
      </c>
      <c r="F7" s="14" t="s">
        <v>46</v>
      </c>
    </row>
    <row r="8" spans="2:6" ht="19.5" customHeight="1" x14ac:dyDescent="0.25">
      <c r="B8" s="5" t="s">
        <v>47</v>
      </c>
      <c r="C8" s="15">
        <v>1000000</v>
      </c>
      <c r="D8" s="12">
        <v>1000000</v>
      </c>
      <c r="E8" s="13">
        <f t="shared" si="0"/>
        <v>0</v>
      </c>
      <c r="F8" s="17" t="s">
        <v>46</v>
      </c>
    </row>
    <row r="9" spans="2:6" ht="19.5" customHeight="1" x14ac:dyDescent="0.25">
      <c r="B9" s="1" t="s">
        <v>94</v>
      </c>
      <c r="C9" s="11">
        <v>1650000</v>
      </c>
      <c r="D9" s="18">
        <v>1650000</v>
      </c>
      <c r="E9" s="13">
        <f t="shared" si="0"/>
        <v>0</v>
      </c>
      <c r="F9" s="14" t="s">
        <v>46</v>
      </c>
    </row>
    <row r="10" spans="2:6" ht="19.5" customHeight="1" x14ac:dyDescent="0.25">
      <c r="B10" s="5" t="s">
        <v>48</v>
      </c>
      <c r="C10" s="15">
        <v>550000</v>
      </c>
      <c r="D10" s="12">
        <v>550000</v>
      </c>
      <c r="E10" s="13">
        <f t="shared" si="0"/>
        <v>0</v>
      </c>
      <c r="F10" s="17" t="s">
        <v>46</v>
      </c>
    </row>
    <row r="11" spans="2:6" ht="19.5" customHeight="1" x14ac:dyDescent="0.25">
      <c r="B11" s="1" t="s">
        <v>7</v>
      </c>
      <c r="C11" s="11">
        <v>360000</v>
      </c>
      <c r="D11" s="18">
        <v>0</v>
      </c>
      <c r="E11" s="13">
        <f t="shared" si="0"/>
        <v>360000</v>
      </c>
      <c r="F11" s="14" t="s">
        <v>46</v>
      </c>
    </row>
    <row r="12" spans="2:6" ht="19.5" customHeight="1" x14ac:dyDescent="0.25">
      <c r="B12" s="5" t="s">
        <v>8</v>
      </c>
      <c r="C12" s="15">
        <v>350000</v>
      </c>
      <c r="D12" s="16">
        <v>0</v>
      </c>
      <c r="E12" s="13">
        <f t="shared" si="0"/>
        <v>350000</v>
      </c>
      <c r="F12" s="17" t="s">
        <v>46</v>
      </c>
    </row>
    <row r="13" spans="2:6" ht="19.5" customHeight="1" x14ac:dyDescent="0.25">
      <c r="B13" s="1" t="s">
        <v>49</v>
      </c>
      <c r="C13" s="19">
        <v>0</v>
      </c>
      <c r="D13" s="18">
        <v>0</v>
      </c>
      <c r="E13" s="13">
        <f t="shared" si="0"/>
        <v>0</v>
      </c>
      <c r="F13" s="14" t="s">
        <v>26</v>
      </c>
    </row>
    <row r="14" spans="2:6" ht="19.5" customHeight="1" x14ac:dyDescent="0.25">
      <c r="B14" s="5" t="s">
        <v>51</v>
      </c>
      <c r="C14" s="20">
        <v>0</v>
      </c>
      <c r="D14" s="16">
        <v>0</v>
      </c>
      <c r="E14" s="13">
        <f t="shared" si="0"/>
        <v>0</v>
      </c>
      <c r="F14" s="17" t="s">
        <v>52</v>
      </c>
    </row>
    <row r="15" spans="2:6" ht="19.5" customHeight="1" x14ac:dyDescent="0.25">
      <c r="B15" s="1" t="s">
        <v>53</v>
      </c>
      <c r="C15" s="19">
        <v>0</v>
      </c>
      <c r="D15" s="18">
        <v>0</v>
      </c>
      <c r="E15" s="13">
        <f t="shared" si="0"/>
        <v>0</v>
      </c>
      <c r="F15" s="14" t="s">
        <v>27</v>
      </c>
    </row>
    <row r="16" spans="2:6" ht="19.5" customHeight="1" x14ac:dyDescent="0.25">
      <c r="B16" s="5" t="s">
        <v>54</v>
      </c>
      <c r="C16" s="20">
        <v>0</v>
      </c>
      <c r="D16" s="16">
        <v>0</v>
      </c>
      <c r="E16" s="13">
        <f t="shared" si="0"/>
        <v>0</v>
      </c>
      <c r="F16" s="17" t="s">
        <v>55</v>
      </c>
    </row>
    <row r="17" spans="2:6" ht="19.5" customHeight="1" x14ac:dyDescent="0.25">
      <c r="B17" s="5" t="s">
        <v>63</v>
      </c>
      <c r="C17" s="20" t="s">
        <v>50</v>
      </c>
      <c r="D17" s="16"/>
      <c r="E17" s="13" t="e">
        <f t="shared" si="0"/>
        <v>#VALUE!</v>
      </c>
      <c r="F17" s="17"/>
    </row>
    <row r="18" spans="2:6" ht="19.5" customHeight="1" x14ac:dyDescent="0.25">
      <c r="B18" s="5" t="s">
        <v>67</v>
      </c>
      <c r="C18" s="20" t="s">
        <v>50</v>
      </c>
      <c r="D18" s="16"/>
      <c r="E18" s="13" t="e">
        <f t="shared" si="0"/>
        <v>#VALUE!</v>
      </c>
      <c r="F18" s="17"/>
    </row>
    <row r="19" spans="2:6" ht="19.5" customHeight="1" x14ac:dyDescent="0.25">
      <c r="B19" s="5" t="s">
        <v>71</v>
      </c>
      <c r="C19" s="20" t="s">
        <v>50</v>
      </c>
      <c r="D19" s="16"/>
      <c r="E19" s="13" t="e">
        <f t="shared" si="0"/>
        <v>#VALUE!</v>
      </c>
      <c r="F19" s="17"/>
    </row>
    <row r="20" spans="2:6" ht="19.5" customHeight="1" x14ac:dyDescent="0.25">
      <c r="B20" s="5" t="s">
        <v>73</v>
      </c>
      <c r="C20" s="20" t="s">
        <v>50</v>
      </c>
      <c r="D20" s="16"/>
      <c r="E20" s="13" t="e">
        <f t="shared" si="0"/>
        <v>#VALUE!</v>
      </c>
      <c r="F20" s="17"/>
    </row>
    <row r="21" spans="2:6" ht="19.5" customHeight="1" x14ac:dyDescent="0.25">
      <c r="B21" s="5" t="s">
        <v>74</v>
      </c>
      <c r="C21" s="20">
        <v>300000</v>
      </c>
      <c r="D21" s="16">
        <v>0</v>
      </c>
      <c r="E21" s="13">
        <f t="shared" si="0"/>
        <v>300000</v>
      </c>
      <c r="F21" s="17" t="s">
        <v>96</v>
      </c>
    </row>
    <row r="22" spans="2:6" ht="19.5" customHeight="1" x14ac:dyDescent="0.25">
      <c r="B22" s="5" t="s">
        <v>97</v>
      </c>
      <c r="C22" s="20" t="s">
        <v>50</v>
      </c>
      <c r="D22" s="16">
        <v>0</v>
      </c>
      <c r="E22" s="13" t="e">
        <f t="shared" si="0"/>
        <v>#VALUE!</v>
      </c>
      <c r="F22" s="17"/>
    </row>
    <row r="23" spans="2:6" ht="19.5" customHeight="1" x14ac:dyDescent="0.25">
      <c r="B23" s="5" t="s">
        <v>75</v>
      </c>
      <c r="C23" s="20" t="s">
        <v>50</v>
      </c>
      <c r="D23" s="16"/>
      <c r="E23" s="13" t="e">
        <f t="shared" si="0"/>
        <v>#VALUE!</v>
      </c>
      <c r="F23" s="17"/>
    </row>
    <row r="24" spans="2:6" ht="19.5" customHeight="1" x14ac:dyDescent="0.25">
      <c r="B24" s="5" t="s">
        <v>98</v>
      </c>
      <c r="C24" s="20" t="s">
        <v>50</v>
      </c>
      <c r="D24" s="16">
        <v>0</v>
      </c>
      <c r="E24" s="13" t="e">
        <f t="shared" si="0"/>
        <v>#VALUE!</v>
      </c>
      <c r="F24" s="17"/>
    </row>
    <row r="25" spans="2:6" ht="19.5" customHeight="1" x14ac:dyDescent="0.25">
      <c r="B25" s="5" t="s">
        <v>79</v>
      </c>
      <c r="C25" s="20" t="s">
        <v>50</v>
      </c>
      <c r="D25" s="16"/>
      <c r="E25" s="13" t="e">
        <f t="shared" si="0"/>
        <v>#VALUE!</v>
      </c>
      <c r="F25" s="17"/>
    </row>
    <row r="26" spans="2:6" ht="19.5" customHeight="1" x14ac:dyDescent="0.25">
      <c r="B26" s="5" t="s">
        <v>80</v>
      </c>
      <c r="C26" s="20" t="s">
        <v>50</v>
      </c>
      <c r="D26" s="16"/>
      <c r="E26" s="13" t="e">
        <f t="shared" si="0"/>
        <v>#VALUE!</v>
      </c>
      <c r="F26" s="17"/>
    </row>
    <row r="27" spans="2:6" ht="19.5" customHeight="1" x14ac:dyDescent="0.25">
      <c r="B27" s="5" t="s">
        <v>81</v>
      </c>
      <c r="C27" s="20" t="s">
        <v>50</v>
      </c>
      <c r="D27" s="16"/>
      <c r="E27" s="13" t="e">
        <f t="shared" si="0"/>
        <v>#VALUE!</v>
      </c>
      <c r="F27" s="17"/>
    </row>
    <row r="28" spans="2:6" ht="19.5" customHeight="1" x14ac:dyDescent="0.25">
      <c r="B28" s="5" t="s">
        <v>83</v>
      </c>
      <c r="C28" s="20" t="s">
        <v>50</v>
      </c>
      <c r="D28" s="16"/>
      <c r="E28" s="13" t="e">
        <f t="shared" si="0"/>
        <v>#VALUE!</v>
      </c>
      <c r="F28" s="17"/>
    </row>
    <row r="29" spans="2:6" ht="19.5" customHeight="1" x14ac:dyDescent="0.25">
      <c r="B29" s="5" t="s">
        <v>84</v>
      </c>
      <c r="C29" s="20" t="s">
        <v>50</v>
      </c>
      <c r="D29" s="16"/>
      <c r="E29" s="13" t="e">
        <f t="shared" si="0"/>
        <v>#VALUE!</v>
      </c>
      <c r="F29" s="17"/>
    </row>
    <row r="30" spans="2:6" ht="19.5" customHeight="1" x14ac:dyDescent="0.25">
      <c r="B30" s="5" t="s">
        <v>85</v>
      </c>
      <c r="C30" s="20" t="s">
        <v>50</v>
      </c>
      <c r="D30" s="16"/>
      <c r="E30" s="13" t="e">
        <f t="shared" si="0"/>
        <v>#VALUE!</v>
      </c>
      <c r="F30" s="17"/>
    </row>
    <row r="31" spans="2:6" ht="19.5" customHeight="1" x14ac:dyDescent="0.25">
      <c r="B31" s="5" t="s">
        <v>88</v>
      </c>
      <c r="C31" s="20" t="s">
        <v>50</v>
      </c>
      <c r="D31" s="16"/>
      <c r="E31" s="13" t="e">
        <f t="shared" si="0"/>
        <v>#VALUE!</v>
      </c>
      <c r="F31" s="17"/>
    </row>
    <row r="32" spans="2:6" ht="19.5" customHeight="1" x14ac:dyDescent="0.25">
      <c r="B32" s="5" t="s">
        <v>99</v>
      </c>
      <c r="C32" s="20" t="s">
        <v>50</v>
      </c>
      <c r="D32" s="16">
        <v>0</v>
      </c>
      <c r="E32" s="13" t="e">
        <f t="shared" si="0"/>
        <v>#VALUE!</v>
      </c>
      <c r="F32" s="17"/>
    </row>
    <row r="33" spans="2:6" ht="24" customHeight="1" x14ac:dyDescent="0.25">
      <c r="B33" s="21" t="s">
        <v>6</v>
      </c>
      <c r="C33" s="2" t="s">
        <v>56</v>
      </c>
      <c r="D33" s="2" t="s">
        <v>57</v>
      </c>
      <c r="E33" s="10" t="s">
        <v>58</v>
      </c>
      <c r="F33" s="2"/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4"/>
  <sheetViews>
    <sheetView showGridLines="0" zoomScaleNormal="100" workbookViewId="0">
      <pane xSplit="1" ySplit="4" topLeftCell="B12" activePane="bottomRight" state="frozen"/>
      <selection pane="topRight" activeCell="B1" sqref="B1"/>
      <selection pane="bottomLeft" activeCell="A5" sqref="A5"/>
      <selection pane="bottomRight" activeCell="B5" sqref="B5:B20"/>
    </sheetView>
  </sheetViews>
  <sheetFormatPr baseColWidth="10" defaultColWidth="8.7109375" defaultRowHeight="15" x14ac:dyDescent="0.25"/>
  <cols>
    <col min="1" max="1" width="3" customWidth="1"/>
    <col min="2" max="2" width="35" customWidth="1"/>
    <col min="3" max="3" width="20" customWidth="1"/>
    <col min="4" max="4" width="15" customWidth="1"/>
    <col min="5" max="5" width="3" customWidth="1"/>
    <col min="6" max="6" width="28" customWidth="1"/>
    <col min="7" max="7" width="20" customWidth="1"/>
    <col min="8" max="8" width="15" customWidth="1"/>
  </cols>
  <sheetData>
    <row r="1" spans="2:8" ht="7.5" customHeight="1" x14ac:dyDescent="0.25"/>
    <row r="2" spans="2:8" ht="36" customHeight="1" x14ac:dyDescent="0.25">
      <c r="B2" s="64" t="s">
        <v>59</v>
      </c>
      <c r="C2" s="64"/>
      <c r="D2" s="64"/>
      <c r="E2" s="64"/>
      <c r="F2" s="64"/>
      <c r="G2" s="64"/>
      <c r="H2" s="64"/>
    </row>
    <row r="4" spans="2:8" ht="21.75" customHeight="1" x14ac:dyDescent="0.25">
      <c r="B4" s="2" t="s">
        <v>60</v>
      </c>
      <c r="C4" s="2" t="s">
        <v>43</v>
      </c>
      <c r="D4" s="2" t="s">
        <v>61</v>
      </c>
      <c r="F4" s="2" t="s">
        <v>62</v>
      </c>
      <c r="G4" s="2" t="s">
        <v>43</v>
      </c>
      <c r="H4" s="2" t="s">
        <v>61</v>
      </c>
    </row>
    <row r="5" spans="2:8" ht="18.75" customHeight="1" x14ac:dyDescent="0.25">
      <c r="B5" s="1" t="s">
        <v>63</v>
      </c>
      <c r="C5" s="22" t="s">
        <v>46</v>
      </c>
      <c r="D5" s="8" t="s">
        <v>64</v>
      </c>
      <c r="F5" s="1" t="s">
        <v>65</v>
      </c>
      <c r="G5" s="22" t="s">
        <v>46</v>
      </c>
      <c r="H5" s="7" t="s">
        <v>66</v>
      </c>
    </row>
    <row r="6" spans="2:8" ht="18.75" customHeight="1" x14ac:dyDescent="0.25">
      <c r="B6" s="5" t="s">
        <v>67</v>
      </c>
      <c r="C6" s="23" t="s">
        <v>46</v>
      </c>
      <c r="D6" s="8" t="s">
        <v>64</v>
      </c>
      <c r="F6" s="5" t="s">
        <v>68</v>
      </c>
      <c r="G6" s="23" t="s">
        <v>46</v>
      </c>
      <c r="H6" s="7" t="s">
        <v>66</v>
      </c>
    </row>
    <row r="7" spans="2:8" ht="18.75" customHeight="1" x14ac:dyDescent="0.25">
      <c r="B7" s="1" t="s">
        <v>69</v>
      </c>
      <c r="C7" s="22" t="s">
        <v>46</v>
      </c>
      <c r="D7" s="8" t="s">
        <v>95</v>
      </c>
      <c r="F7" s="1" t="s">
        <v>63</v>
      </c>
      <c r="G7" s="22" t="s">
        <v>46</v>
      </c>
      <c r="H7" s="9" t="s">
        <v>70</v>
      </c>
    </row>
    <row r="8" spans="2:8" ht="18.75" customHeight="1" x14ac:dyDescent="0.25">
      <c r="B8" s="5" t="s">
        <v>71</v>
      </c>
      <c r="C8" s="23" t="s">
        <v>46</v>
      </c>
      <c r="D8" s="8" t="s">
        <v>64</v>
      </c>
      <c r="F8" s="5" t="s">
        <v>72</v>
      </c>
      <c r="G8" s="23" t="s">
        <v>46</v>
      </c>
      <c r="H8" s="9" t="s">
        <v>70</v>
      </c>
    </row>
    <row r="9" spans="2:8" ht="18.75" customHeight="1" x14ac:dyDescent="0.25">
      <c r="B9" s="1" t="s">
        <v>73</v>
      </c>
      <c r="C9" s="22" t="s">
        <v>46</v>
      </c>
      <c r="D9" s="8" t="s">
        <v>64</v>
      </c>
      <c r="F9" s="1" t="s">
        <v>54</v>
      </c>
      <c r="G9" s="22" t="s">
        <v>55</v>
      </c>
      <c r="H9" s="9" t="s">
        <v>70</v>
      </c>
    </row>
    <row r="10" spans="2:8" ht="18.75" customHeight="1" x14ac:dyDescent="0.25">
      <c r="B10" s="5" t="s">
        <v>74</v>
      </c>
      <c r="C10" s="23" t="s">
        <v>46</v>
      </c>
      <c r="D10" s="8" t="s">
        <v>64</v>
      </c>
      <c r="F10" s="5" t="s">
        <v>8</v>
      </c>
      <c r="G10" s="23" t="s">
        <v>46</v>
      </c>
      <c r="H10" s="7" t="s">
        <v>66</v>
      </c>
    </row>
    <row r="11" spans="2:8" ht="18.75" customHeight="1" x14ac:dyDescent="0.25">
      <c r="B11" s="1" t="s">
        <v>75</v>
      </c>
      <c r="C11" s="22" t="s">
        <v>76</v>
      </c>
      <c r="D11" s="8" t="s">
        <v>64</v>
      </c>
      <c r="F11" s="1" t="s">
        <v>77</v>
      </c>
      <c r="G11" s="22" t="s">
        <v>46</v>
      </c>
      <c r="H11" s="9" t="s">
        <v>70</v>
      </c>
    </row>
    <row r="12" spans="2:8" ht="18.75" customHeight="1" x14ac:dyDescent="0.25">
      <c r="B12" s="5" t="s">
        <v>78</v>
      </c>
      <c r="C12" s="23" t="s">
        <v>46</v>
      </c>
      <c r="D12" s="8" t="s">
        <v>64</v>
      </c>
      <c r="F12" s="5" t="s">
        <v>49</v>
      </c>
      <c r="G12" s="23" t="s">
        <v>26</v>
      </c>
      <c r="H12" s="9" t="s">
        <v>70</v>
      </c>
    </row>
    <row r="13" spans="2:8" ht="18.75" customHeight="1" x14ac:dyDescent="0.25">
      <c r="B13" s="1" t="s">
        <v>79</v>
      </c>
      <c r="C13" s="22" t="s">
        <v>46</v>
      </c>
      <c r="D13" s="8" t="s">
        <v>64</v>
      </c>
      <c r="F13" s="1" t="s">
        <v>75</v>
      </c>
      <c r="G13" s="22" t="s">
        <v>46</v>
      </c>
      <c r="H13" s="9" t="s">
        <v>70</v>
      </c>
    </row>
    <row r="14" spans="2:8" ht="18.75" customHeight="1" x14ac:dyDescent="0.25">
      <c r="B14" s="5" t="s">
        <v>80</v>
      </c>
      <c r="C14" s="23" t="s">
        <v>46</v>
      </c>
      <c r="D14" s="8" t="s">
        <v>64</v>
      </c>
      <c r="F14" s="5" t="s">
        <v>73</v>
      </c>
      <c r="G14" s="23" t="s">
        <v>46</v>
      </c>
      <c r="H14" s="9" t="s">
        <v>70</v>
      </c>
    </row>
    <row r="15" spans="2:8" ht="18.75" customHeight="1" x14ac:dyDescent="0.25">
      <c r="B15" s="1" t="s">
        <v>81</v>
      </c>
      <c r="C15" s="22" t="s">
        <v>46</v>
      </c>
      <c r="D15" s="8" t="s">
        <v>64</v>
      </c>
      <c r="F15" s="1" t="s">
        <v>82</v>
      </c>
      <c r="G15" s="22" t="s">
        <v>46</v>
      </c>
      <c r="H15" s="9" t="s">
        <v>70</v>
      </c>
    </row>
    <row r="16" spans="2:8" ht="18.75" customHeight="1" x14ac:dyDescent="0.25">
      <c r="B16" s="5" t="s">
        <v>83</v>
      </c>
      <c r="C16" s="23" t="s">
        <v>46</v>
      </c>
      <c r="D16" s="8" t="s">
        <v>64</v>
      </c>
      <c r="F16" s="5" t="s">
        <v>3</v>
      </c>
      <c r="G16" s="23" t="s">
        <v>46</v>
      </c>
      <c r="H16" s="7" t="s">
        <v>66</v>
      </c>
    </row>
    <row r="17" spans="2:8" ht="18.75" customHeight="1" x14ac:dyDescent="0.25">
      <c r="B17" s="1" t="s">
        <v>84</v>
      </c>
      <c r="C17" s="22" t="s">
        <v>46</v>
      </c>
      <c r="D17" s="8" t="s">
        <v>64</v>
      </c>
      <c r="F17" s="1" t="s">
        <v>7</v>
      </c>
      <c r="G17" s="22" t="s">
        <v>46</v>
      </c>
      <c r="H17" s="8" t="s">
        <v>64</v>
      </c>
    </row>
    <row r="18" spans="2:8" ht="18.75" customHeight="1" x14ac:dyDescent="0.25">
      <c r="B18" s="5" t="s">
        <v>85</v>
      </c>
      <c r="C18" s="23" t="s">
        <v>46</v>
      </c>
      <c r="D18" s="8" t="s">
        <v>64</v>
      </c>
      <c r="F18" s="5" t="s">
        <v>51</v>
      </c>
      <c r="G18" s="23" t="s">
        <v>52</v>
      </c>
      <c r="H18" s="9" t="s">
        <v>70</v>
      </c>
    </row>
    <row r="19" spans="2:8" ht="18.75" customHeight="1" x14ac:dyDescent="0.25">
      <c r="B19" s="1" t="s">
        <v>86</v>
      </c>
      <c r="C19" s="22" t="s">
        <v>46</v>
      </c>
      <c r="D19" s="8" t="s">
        <v>64</v>
      </c>
      <c r="F19" s="1" t="s">
        <v>87</v>
      </c>
      <c r="G19" s="22" t="s">
        <v>46</v>
      </c>
      <c r="H19" s="9" t="s">
        <v>70</v>
      </c>
    </row>
    <row r="20" spans="2:8" ht="18.75" customHeight="1" x14ac:dyDescent="0.25">
      <c r="B20" s="5" t="s">
        <v>88</v>
      </c>
      <c r="C20" s="23" t="s">
        <v>46</v>
      </c>
      <c r="D20" s="8" t="s">
        <v>64</v>
      </c>
      <c r="F20" s="5" t="s">
        <v>89</v>
      </c>
      <c r="G20" s="23" t="s">
        <v>46</v>
      </c>
      <c r="H20" s="8" t="s">
        <v>64</v>
      </c>
    </row>
    <row r="21" spans="2:8" ht="18.75" customHeight="1" x14ac:dyDescent="0.25">
      <c r="B21" s="1" t="s">
        <v>90</v>
      </c>
      <c r="C21" s="22" t="s">
        <v>46</v>
      </c>
      <c r="D21" s="8" t="s">
        <v>64</v>
      </c>
      <c r="F21" s="1" t="s">
        <v>5</v>
      </c>
      <c r="G21" s="22" t="s">
        <v>46</v>
      </c>
      <c r="H21" s="8" t="s">
        <v>64</v>
      </c>
    </row>
    <row r="22" spans="2:8" ht="18.75" customHeight="1" x14ac:dyDescent="0.25">
      <c r="F22" s="5" t="s">
        <v>2</v>
      </c>
      <c r="G22" s="23" t="s">
        <v>45</v>
      </c>
      <c r="H22" s="8" t="s">
        <v>64</v>
      </c>
    </row>
    <row r="23" spans="2:8" ht="18.75" customHeight="1" x14ac:dyDescent="0.25">
      <c r="F23" s="1" t="s">
        <v>79</v>
      </c>
      <c r="G23" s="22" t="s">
        <v>46</v>
      </c>
      <c r="H23" s="8" t="s">
        <v>64</v>
      </c>
    </row>
    <row r="24" spans="2:8" ht="18.75" customHeight="1" x14ac:dyDescent="0.25">
      <c r="F24" s="5" t="s">
        <v>67</v>
      </c>
      <c r="G24" s="23" t="s">
        <v>46</v>
      </c>
      <c r="H24" s="8" t="s">
        <v>64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👥 Invitados</vt:lpstr>
      <vt:lpstr>🪑 Mesas</vt:lpstr>
      <vt:lpstr>💰 Presupuesto</vt:lpstr>
      <vt:lpstr>✅ Preparativos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Administrador del PC</cp:lastModifiedBy>
  <cp:revision>0</cp:revision>
  <cp:lastPrinted>2026-09-09T23:08:17Z</cp:lastPrinted>
  <dcterms:created xsi:type="dcterms:W3CDTF">2026-05-29T19:15:53Z</dcterms:created>
  <dcterms:modified xsi:type="dcterms:W3CDTF">2026-09-10T02:01:43Z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2026-05-29T19:30:09Z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49426e77-4764-4a56-8b37-c6633c845135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